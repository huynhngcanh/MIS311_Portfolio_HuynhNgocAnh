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uynhngocanh/Documents/MIS 311/"/>
    </mc:Choice>
  </mc:AlternateContent>
  <xr:revisionPtr revIDLastSave="0" documentId="13_ncr:1_{841584C5-384A-4643-B350-FD720B231B53}" xr6:coauthVersionLast="47" xr6:coauthVersionMax="47" xr10:uidLastSave="{00000000-0000-0000-0000-000000000000}"/>
  <bookViews>
    <workbookView xWindow="0" yWindow="500" windowWidth="25600" windowHeight="15500" xr2:uid="{EEDF02F8-B777-4BDD-930F-D25699A8923B}"/>
  </bookViews>
  <sheets>
    <sheet name="Pivot Table" sheetId="2" r:id="rId1"/>
    <sheet name="Cleaned_Shoe Price_Data" sheetId="1" r:id="rId2"/>
  </sheets>
  <definedNames>
    <definedName name="_xlchart.v1.0" hidden="1">'Cleaned_Shoe Price_Data'!$D$1</definedName>
    <definedName name="_xlchart.v1.1" hidden="1">'Cleaned_Shoe Price_Data'!$D$2:$D$200</definedName>
  </definedNames>
  <calcPr calcId="191029"/>
  <pivotCaches>
    <pivotCache cacheId="2" r:id="rId3"/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O7" i="2"/>
  <c r="O6" i="2"/>
  <c r="O5" i="2"/>
  <c r="O4" i="2"/>
  <c r="O3" i="2"/>
  <c r="O2" i="2"/>
  <c r="G8" i="1"/>
  <c r="G7" i="1"/>
  <c r="G6" i="1"/>
  <c r="G5" i="1"/>
  <c r="G2" i="1"/>
  <c r="G4" i="1"/>
  <c r="G3" i="1"/>
  <c r="R14" i="1"/>
</calcChain>
</file>

<file path=xl/sharedStrings.xml><?xml version="1.0" encoding="utf-8"?>
<sst xmlns="http://schemas.openxmlformats.org/spreadsheetml/2006/main" count="501" uniqueCount="78">
  <si>
    <t>brand</t>
  </si>
  <si>
    <t>color</t>
  </si>
  <si>
    <t>size</t>
  </si>
  <si>
    <t>price</t>
  </si>
  <si>
    <t>Tresmode</t>
  </si>
  <si>
    <t>Black</t>
  </si>
  <si>
    <t>Lavie</t>
  </si>
  <si>
    <t>Gold</t>
  </si>
  <si>
    <t>FILA</t>
  </si>
  <si>
    <t>Red</t>
  </si>
  <si>
    <t>Crocs</t>
  </si>
  <si>
    <t>Blue</t>
  </si>
  <si>
    <t>Franco Leone</t>
  </si>
  <si>
    <t>Brown</t>
  </si>
  <si>
    <t>White</t>
  </si>
  <si>
    <t>Black &amp; Red</t>
  </si>
  <si>
    <t>LaBriza</t>
  </si>
  <si>
    <t>Bordo</t>
  </si>
  <si>
    <t>Hush Puppies</t>
  </si>
  <si>
    <t>Woodland</t>
  </si>
  <si>
    <t>Camel</t>
  </si>
  <si>
    <t>Adidas</t>
  </si>
  <si>
    <t>Buckaroo</t>
  </si>
  <si>
    <t>Light Tan</t>
  </si>
  <si>
    <t>Liberty</t>
  </si>
  <si>
    <t>Grey</t>
  </si>
  <si>
    <t>Tan</t>
  </si>
  <si>
    <t>Bata</t>
  </si>
  <si>
    <t>Hidesign</t>
  </si>
  <si>
    <t>Havaianas</t>
  </si>
  <si>
    <t>Asics</t>
  </si>
  <si>
    <t>Reebok</t>
  </si>
  <si>
    <t>Vanilla Moon</t>
  </si>
  <si>
    <t>Silver</t>
  </si>
  <si>
    <t>Navy &amp; Red</t>
  </si>
  <si>
    <t>Green</t>
  </si>
  <si>
    <t>Nike</t>
  </si>
  <si>
    <t>Converse</t>
  </si>
  <si>
    <t>Tory Burch</t>
  </si>
  <si>
    <t>Navy</t>
  </si>
  <si>
    <t>Pink</t>
  </si>
  <si>
    <t>Beige</t>
  </si>
  <si>
    <t>Yellow</t>
  </si>
  <si>
    <t>Orange</t>
  </si>
  <si>
    <t>Imperial India Company</t>
  </si>
  <si>
    <t>Umbro</t>
  </si>
  <si>
    <t>Grey &amp; Blue</t>
  </si>
  <si>
    <t>Purple</t>
  </si>
  <si>
    <t>Footin</t>
  </si>
  <si>
    <t>PUMA</t>
  </si>
  <si>
    <t>Toms</t>
  </si>
  <si>
    <t>Blush</t>
  </si>
  <si>
    <t>Multi</t>
  </si>
  <si>
    <t>Row Labels</t>
  </si>
  <si>
    <t>(blank)</t>
  </si>
  <si>
    <t>Grand Total</t>
  </si>
  <si>
    <t>Count of color</t>
  </si>
  <si>
    <t>Median</t>
  </si>
  <si>
    <t>Kurtosis</t>
  </si>
  <si>
    <t xml:space="preserve">Maximum value </t>
  </si>
  <si>
    <t xml:space="preserve">Minimum value </t>
  </si>
  <si>
    <t xml:space="preserve">Skewness </t>
  </si>
  <si>
    <t>Standard deviation </t>
  </si>
  <si>
    <t>Average</t>
  </si>
  <si>
    <t>Mean</t>
  </si>
  <si>
    <t>Standard Error</t>
  </si>
  <si>
    <t>Mode</t>
  </si>
  <si>
    <t>Standard Deviation</t>
  </si>
  <si>
    <t>Sample Variance</t>
  </si>
  <si>
    <t>Skewness</t>
  </si>
  <si>
    <t>Range</t>
  </si>
  <si>
    <t>Minimum</t>
  </si>
  <si>
    <t>Maximum</t>
  </si>
  <si>
    <t>Sum</t>
  </si>
  <si>
    <t>Count</t>
  </si>
  <si>
    <t>Descriptive Statistics</t>
  </si>
  <si>
    <t>KEY INSIGHT 1</t>
  </si>
  <si>
    <t xml:space="preserve">KEY INSIGHT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</si>
</sst>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Aptos Narrow (Body)"/>
    </font>
    <font>
      <i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FF000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19" fillId="0" borderId="10" xfId="0" applyFont="1" applyBorder="1"/>
    <xf numFmtId="0" fontId="20" fillId="0" borderId="10" xfId="0" applyFont="1" applyBorder="1"/>
    <xf numFmtId="0" fontId="18" fillId="34" borderId="13" xfId="0" applyFont="1" applyFill="1" applyBorder="1"/>
    <xf numFmtId="0" fontId="18" fillId="34" borderId="14" xfId="0" applyFont="1" applyFill="1" applyBorder="1"/>
    <xf numFmtId="0" fontId="18" fillId="34" borderId="15" xfId="0" applyFont="1" applyFill="1" applyBorder="1"/>
    <xf numFmtId="0" fontId="18" fillId="34" borderId="16" xfId="0" applyFont="1" applyFill="1" applyBorder="1"/>
    <xf numFmtId="2" fontId="0" fillId="0" borderId="10" xfId="0" applyNumberFormat="1" applyBorder="1"/>
    <xf numFmtId="0" fontId="0" fillId="0" borderId="10" xfId="0" applyBorder="1"/>
    <xf numFmtId="0" fontId="18" fillId="35" borderId="0" xfId="0" applyFont="1" applyFill="1"/>
    <xf numFmtId="0" fontId="24" fillId="0" borderId="0" xfId="0" applyFont="1"/>
    <xf numFmtId="0" fontId="23" fillId="34" borderId="13" xfId="0" applyFont="1" applyFill="1" applyBorder="1"/>
    <xf numFmtId="0" fontId="23" fillId="34" borderId="15" xfId="0" applyFont="1" applyFill="1" applyBorder="1"/>
    <xf numFmtId="0" fontId="24" fillId="0" borderId="0" xfId="0" applyFont="1" applyAlignment="1">
      <alignment horizont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1" fillId="36" borderId="13" xfId="0" applyFont="1" applyFill="1" applyBorder="1" applyAlignment="1">
      <alignment horizontal="center" vertical="center"/>
    </xf>
    <xf numFmtId="0" fontId="21" fillId="36" borderId="14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/>
    </xf>
    <xf numFmtId="0" fontId="22" fillId="34" borderId="12" xfId="0" applyFont="1" applyFill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[MIS311_Huynh Ngoc Anh_4-shoe price.xlsx]Pivot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Shoe Color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Table'!$A$4:$A$28</c:f>
              <c:strCache>
                <c:ptCount val="24"/>
                <c:pt idx="0">
                  <c:v>Beige</c:v>
                </c:pt>
                <c:pt idx="1">
                  <c:v>Black</c:v>
                </c:pt>
                <c:pt idx="2">
                  <c:v>Black &amp; Red</c:v>
                </c:pt>
                <c:pt idx="3">
                  <c:v>Blue</c:v>
                </c:pt>
                <c:pt idx="4">
                  <c:v>Blush</c:v>
                </c:pt>
                <c:pt idx="5">
                  <c:v>Bordo</c:v>
                </c:pt>
                <c:pt idx="6">
                  <c:v>Brown</c:v>
                </c:pt>
                <c:pt idx="7">
                  <c:v>Camel</c:v>
                </c:pt>
                <c:pt idx="8">
                  <c:v>Gold</c:v>
                </c:pt>
                <c:pt idx="9">
                  <c:v>Green</c:v>
                </c:pt>
                <c:pt idx="10">
                  <c:v>Grey</c:v>
                </c:pt>
                <c:pt idx="11">
                  <c:v>Grey &amp; Blue</c:v>
                </c:pt>
                <c:pt idx="12">
                  <c:v>Light Tan</c:v>
                </c:pt>
                <c:pt idx="13">
                  <c:v>Multi</c:v>
                </c:pt>
                <c:pt idx="14">
                  <c:v>Navy</c:v>
                </c:pt>
                <c:pt idx="15">
                  <c:v>Navy &amp; Red</c:v>
                </c:pt>
                <c:pt idx="16">
                  <c:v>Orange</c:v>
                </c:pt>
                <c:pt idx="17">
                  <c:v>Pink</c:v>
                </c:pt>
                <c:pt idx="18">
                  <c:v>Purple</c:v>
                </c:pt>
                <c:pt idx="19">
                  <c:v>Red</c:v>
                </c:pt>
                <c:pt idx="20">
                  <c:v>Silver</c:v>
                </c:pt>
                <c:pt idx="21">
                  <c:v>Tan</c:v>
                </c:pt>
                <c:pt idx="22">
                  <c:v>White</c:v>
                </c:pt>
                <c:pt idx="23">
                  <c:v>Yellow</c:v>
                </c:pt>
              </c:strCache>
            </c:strRef>
          </c:cat>
          <c:val>
            <c:numRef>
              <c:f>'Pivot Table'!$B$4:$B$28</c:f>
              <c:numCache>
                <c:formatCode>General</c:formatCode>
                <c:ptCount val="24"/>
                <c:pt idx="0">
                  <c:v>4</c:v>
                </c:pt>
                <c:pt idx="1">
                  <c:v>49</c:v>
                </c:pt>
                <c:pt idx="2">
                  <c:v>1</c:v>
                </c:pt>
                <c:pt idx="3">
                  <c:v>24</c:v>
                </c:pt>
                <c:pt idx="4">
                  <c:v>1</c:v>
                </c:pt>
                <c:pt idx="5">
                  <c:v>1</c:v>
                </c:pt>
                <c:pt idx="6">
                  <c:v>35</c:v>
                </c:pt>
                <c:pt idx="7">
                  <c:v>2</c:v>
                </c:pt>
                <c:pt idx="8">
                  <c:v>7</c:v>
                </c:pt>
                <c:pt idx="9">
                  <c:v>3</c:v>
                </c:pt>
                <c:pt idx="10">
                  <c:v>14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11</c:v>
                </c:pt>
                <c:pt idx="20">
                  <c:v>3</c:v>
                </c:pt>
                <c:pt idx="21">
                  <c:v>7</c:v>
                </c:pt>
                <c:pt idx="22">
                  <c:v>14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A-554C-B298-D0827D8347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22339968"/>
        <c:axId val="1122345360"/>
      </c:barChart>
      <c:catAx>
        <c:axId val="112233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cap="all" baseline="0">
                    <a:solidFill>
                      <a:srgbClr val="FFFF00"/>
                    </a:solidFill>
                    <a:latin typeface="Abadi MT Condensed Light" panose="020B0306030101010103" pitchFamily="34" charset="77"/>
                    <a:ea typeface="+mn-ea"/>
                    <a:cs typeface="+mn-cs"/>
                  </a:defRPr>
                </a:pPr>
                <a:r>
                  <a:rPr lang="en-US" sz="800" b="0" i="0" u="none" strike="noStrike" cap="all" baseline="0">
                    <a:solidFill>
                      <a:srgbClr val="FFFF00"/>
                    </a:solidFill>
                    <a:effectLst/>
                    <a:latin typeface="Abadi MT Condensed Light" panose="020B0306030101010103" pitchFamily="34" charset="77"/>
                  </a:rPr>
                  <a:t>Shoe Color</a:t>
                </a:r>
                <a:endParaRPr lang="en-US" sz="800">
                  <a:solidFill>
                    <a:srgbClr val="FFFF00"/>
                  </a:solidFill>
                  <a:latin typeface="Abadi MT Condensed Light" panose="020B0306030101010103" pitchFamily="34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cap="all" baseline="0">
                  <a:solidFill>
                    <a:srgbClr val="FFFF00"/>
                  </a:solidFill>
                  <a:latin typeface="Abadi MT Condensed Light" panose="020B0306030101010103" pitchFamily="34" charset="77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2345360"/>
        <c:crosses val="autoZero"/>
        <c:auto val="1"/>
        <c:lblAlgn val="ctr"/>
        <c:lblOffset val="100"/>
        <c:noMultiLvlLbl val="0"/>
      </c:catAx>
      <c:valAx>
        <c:axId val="11223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cap="all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cap="all" baseline="0">
                    <a:solidFill>
                      <a:srgbClr val="FFFF00"/>
                    </a:solidFill>
                    <a:effectLst/>
                  </a:rPr>
                  <a:t>Number of Shoes</a:t>
                </a:r>
                <a:endParaRPr lang="en-US" sz="800">
                  <a:solidFill>
                    <a:srgbClr val="FFFF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cap="all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2233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Price Distribution for Shoes</a:t>
            </a:r>
            <a:endParaRPr lang="en-GB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D3E7EC5B-C563-6C4B-AD66-056D52671F7A}">
          <cx:tx>
            <cx:txData>
              <cx:f>_xlchart.v1.0</cx:f>
              <cx:v>price</cx:v>
            </cx:txData>
          </cx:tx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GB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tx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GB">
            <a:solidFill>
              <a:schemeClr val="tx1"/>
            </a:solidFill>
          </a:endParaRPr>
        </a:p>
      </cx:txPr>
    </cx:legend>
  </cx:chart>
  <cx:spPr>
    <a:solidFill>
      <a:schemeClr val="accent6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19050</xdr:rowOff>
    </xdr:from>
    <xdr:to>
      <xdr:col>12</xdr:col>
      <xdr:colOff>12700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D03E4-D0AC-F277-EE56-A4804F4E0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1092200</xdr:colOff>
      <xdr:row>9</xdr:row>
      <xdr:rowOff>165100</xdr:rowOff>
    </xdr:from>
    <xdr:to>
      <xdr:col>7</xdr:col>
      <xdr:colOff>1079500</xdr:colOff>
      <xdr:row>21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86BAA9B-2001-6B31-4022-6490D3AB68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3000" y="2349500"/>
              <a:ext cx="5130800" cy="275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7.701823726849" createdVersion="8" refreshedVersion="8" minRefreshableVersion="3" recordCount="202" xr:uid="{9FCFC8FC-61D1-364B-9F12-652BEF06AC2D}">
  <cacheSource type="worksheet">
    <worksheetSource ref="B1:B203" sheet="Cleaned_Shoe Price_Data"/>
  </cacheSource>
  <cacheFields count="1">
    <cacheField name="color" numFmtId="0">
      <sharedItems containsBlank="1" count="25">
        <s v="Black"/>
        <s v="Gold"/>
        <s v="Red"/>
        <s v="Blue"/>
        <s v="Brown"/>
        <s v="White"/>
        <s v="Black &amp; Red"/>
        <s v="Bordo"/>
        <s v="Camel"/>
        <s v="Light Tan"/>
        <s v="Grey"/>
        <s v="Tan"/>
        <s v="Silver"/>
        <s v="Navy &amp; Red"/>
        <s v="Green"/>
        <s v="Navy"/>
        <s v="Pink"/>
        <s v="Beige"/>
        <s v="Yellow"/>
        <s v="Orange"/>
        <s v="Grey &amp; Blue"/>
        <s v="Purple"/>
        <s v="Blush"/>
        <m/>
        <s v="Multi"/>
      </sharedItems>
    </cacheField>
  </cacheFields>
  <extLst>
    <ext xmlns:x14="http://schemas.microsoft.com/office/spreadsheetml/2009/9/main" uri="{725AE2AE-9491-48be-B2B4-4EB974FC3084}">
      <x14:pivotCacheDefinition pivotCacheId="128908801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ỳnh Ngọc Ánh" refreshedDate="45961.85506574074" createdVersion="8" refreshedVersion="8" minRefreshableVersion="3" recordCount="199" xr:uid="{8CADB5ED-491B-A641-AE68-3B5EBDE73BDA}">
  <cacheSource type="worksheet">
    <worksheetSource name="Table2"/>
  </cacheSource>
  <cacheFields count="4">
    <cacheField name="brand" numFmtId="0">
      <sharedItems count="25">
        <s v="Tresmode"/>
        <s v="Lavie"/>
        <s v="FILA"/>
        <s v="Crocs"/>
        <s v="Franco Leone"/>
        <s v="LaBriza"/>
        <s v="Hush Puppies"/>
        <s v="Woodland"/>
        <s v="Adidas"/>
        <s v="Buckaroo"/>
        <s v="Liberty"/>
        <s v="Bata"/>
        <s v="Hidesign"/>
        <s v="Havaianas"/>
        <s v="Asics"/>
        <s v="Reebok"/>
        <s v="Vanilla Moon"/>
        <s v="Nike"/>
        <s v="Converse"/>
        <s v="Tory Burch"/>
        <s v="Imperial India Company"/>
        <s v="Umbro"/>
        <s v="Footin"/>
        <s v="PUMA"/>
        <s v="Toms"/>
      </sharedItems>
    </cacheField>
    <cacheField name="color" numFmtId="0">
      <sharedItems count="24">
        <s v="Black"/>
        <s v="Gold"/>
        <s v="Red"/>
        <s v="Blue"/>
        <s v="Brown"/>
        <s v="White"/>
        <s v="Black &amp; Red"/>
        <s v="Bordo"/>
        <s v="Camel"/>
        <s v="Light Tan"/>
        <s v="Grey"/>
        <s v="Tan"/>
        <s v="Silver"/>
        <s v="Navy &amp; Red"/>
        <s v="Green"/>
        <s v="Navy"/>
        <s v="Pink"/>
        <s v="Beige"/>
        <s v="Yellow"/>
        <s v="Orange"/>
        <s v="Grey &amp; Blue"/>
        <s v="Purple"/>
        <s v="Blush"/>
        <s v="Multi"/>
      </sharedItems>
    </cacheField>
    <cacheField name="size" numFmtId="0">
      <sharedItems containsSemiMixedTypes="0" containsString="0" containsNumber="1" minValue="2" maxValue="41" count="21">
        <n v="6.5"/>
        <n v="4"/>
        <n v="6"/>
        <n v="5"/>
        <n v="8"/>
        <n v="10"/>
        <n v="11"/>
        <n v="3"/>
        <n v="7"/>
        <n v="9"/>
        <n v="2.5"/>
        <n v="12"/>
        <n v="12.5"/>
        <n v="2"/>
        <n v="3.5"/>
        <n v="13"/>
        <n v="7.5"/>
        <n v="10.5"/>
        <n v="4.5"/>
        <n v="8.5"/>
        <n v="41"/>
      </sharedItems>
    </cacheField>
    <cacheField name="price" numFmtId="0">
      <sharedItems containsSemiMixedTypes="0" containsString="0" containsNumber="1" containsInteger="1" minValue="80" maxValue="350" count="142">
        <n v="327"/>
        <n v="200"/>
        <n v="133"/>
        <n v="192"/>
        <n v="337"/>
        <n v="319"/>
        <n v="205"/>
        <n v="324"/>
        <n v="100"/>
        <n v="291"/>
        <n v="278"/>
        <n v="328"/>
        <n v="207"/>
        <n v="271"/>
        <n v="96"/>
        <n v="143"/>
        <n v="300"/>
        <n v="227"/>
        <n v="286"/>
        <n v="201"/>
        <n v="350"/>
        <n v="211"/>
        <n v="141"/>
        <n v="266"/>
        <n v="285"/>
        <n v="144"/>
        <n v="318"/>
        <n v="292"/>
        <n v="255"/>
        <n v="105"/>
        <n v="274"/>
        <n v="199"/>
        <n v="186"/>
        <n v="132"/>
        <n v="103"/>
        <n v="214"/>
        <n v="189"/>
        <n v="253"/>
        <n v="169"/>
        <n v="193"/>
        <n v="127"/>
        <n v="93"/>
        <n v="166"/>
        <n v="243"/>
        <n v="140"/>
        <n v="94"/>
        <n v="204"/>
        <n v="277"/>
        <n v="314"/>
        <n v="163"/>
        <n v="219"/>
        <n v="177"/>
        <n v="250"/>
        <n v="239"/>
        <n v="268"/>
        <n v="269"/>
        <n v="330"/>
        <n v="83"/>
        <n v="156"/>
        <n v="153"/>
        <n v="316"/>
        <n v="320"/>
        <n v="146"/>
        <n v="113"/>
        <n v="344"/>
        <n v="116"/>
        <n v="233"/>
        <n v="254"/>
        <n v="176"/>
        <n v="136"/>
        <n v="111"/>
        <n v="191"/>
        <n v="104"/>
        <n v="257"/>
        <n v="289"/>
        <n v="226"/>
        <n v="329"/>
        <n v="221"/>
        <n v="241"/>
        <n v="109"/>
        <n v="323"/>
        <n v="86"/>
        <n v="80"/>
        <n v="145"/>
        <n v="195"/>
        <n v="281"/>
        <n v="270"/>
        <n v="142"/>
        <n v="259"/>
        <n v="224"/>
        <n v="312"/>
        <n v="347"/>
        <n v="238"/>
        <n v="210"/>
        <n v="296"/>
        <n v="336"/>
        <n v="92"/>
        <n v="130"/>
        <n v="115"/>
        <n v="339"/>
        <n v="114"/>
        <n v="134"/>
        <n v="120"/>
        <n v="242"/>
        <n v="299"/>
        <n v="294"/>
        <n v="297"/>
        <n v="106"/>
        <n v="107"/>
        <n v="261"/>
        <n v="154"/>
        <n v="182"/>
        <n v="216"/>
        <n v="272"/>
        <n v="246"/>
        <n v="102"/>
        <n v="307"/>
        <n v="202"/>
        <n v="82"/>
        <n v="99"/>
        <n v="108"/>
        <n v="184"/>
        <n v="317"/>
        <n v="172"/>
        <n v="303"/>
        <n v="157"/>
        <n v="267"/>
        <n v="198"/>
        <n v="343"/>
        <n v="164"/>
        <n v="206"/>
        <n v="244"/>
        <n v="125"/>
        <n v="148"/>
        <n v="276"/>
        <n v="173"/>
        <n v="162"/>
        <n v="305"/>
        <n v="123"/>
        <n v="179"/>
        <n v="311"/>
        <n v="119"/>
      </sharedItems>
    </cacheField>
  </cacheFields>
  <extLst>
    <ext xmlns:x14="http://schemas.microsoft.com/office/spreadsheetml/2009/9/main" uri="{725AE2AE-9491-48be-B2B4-4EB974FC3084}">
      <x14:pivotCacheDefinition pivotCacheId="1351400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</r>
  <r>
    <x v="1"/>
  </r>
  <r>
    <x v="2"/>
  </r>
  <r>
    <x v="2"/>
  </r>
  <r>
    <x v="3"/>
  </r>
  <r>
    <x v="4"/>
  </r>
  <r>
    <x v="5"/>
  </r>
  <r>
    <x v="6"/>
  </r>
  <r>
    <x v="3"/>
  </r>
  <r>
    <x v="4"/>
  </r>
  <r>
    <x v="0"/>
  </r>
  <r>
    <x v="4"/>
  </r>
  <r>
    <x v="2"/>
  </r>
  <r>
    <x v="7"/>
  </r>
  <r>
    <x v="4"/>
  </r>
  <r>
    <x v="3"/>
  </r>
  <r>
    <x v="8"/>
  </r>
  <r>
    <x v="5"/>
  </r>
  <r>
    <x v="4"/>
  </r>
  <r>
    <x v="5"/>
  </r>
  <r>
    <x v="1"/>
  </r>
  <r>
    <x v="9"/>
  </r>
  <r>
    <x v="0"/>
  </r>
  <r>
    <x v="4"/>
  </r>
  <r>
    <x v="4"/>
  </r>
  <r>
    <x v="2"/>
  </r>
  <r>
    <x v="3"/>
  </r>
  <r>
    <x v="10"/>
  </r>
  <r>
    <x v="4"/>
  </r>
  <r>
    <x v="3"/>
  </r>
  <r>
    <x v="0"/>
  </r>
  <r>
    <x v="5"/>
  </r>
  <r>
    <x v="5"/>
  </r>
  <r>
    <x v="3"/>
  </r>
  <r>
    <x v="11"/>
  </r>
  <r>
    <x v="4"/>
  </r>
  <r>
    <x v="0"/>
  </r>
  <r>
    <x v="4"/>
  </r>
  <r>
    <x v="3"/>
  </r>
  <r>
    <x v="0"/>
  </r>
  <r>
    <x v="4"/>
  </r>
  <r>
    <x v="3"/>
  </r>
  <r>
    <x v="3"/>
  </r>
  <r>
    <x v="2"/>
  </r>
  <r>
    <x v="0"/>
  </r>
  <r>
    <x v="12"/>
  </r>
  <r>
    <x v="3"/>
  </r>
  <r>
    <x v="13"/>
  </r>
  <r>
    <x v="14"/>
  </r>
  <r>
    <x v="1"/>
  </r>
  <r>
    <x v="3"/>
  </r>
  <r>
    <x v="10"/>
  </r>
  <r>
    <x v="5"/>
  </r>
  <r>
    <x v="0"/>
  </r>
  <r>
    <x v="14"/>
  </r>
  <r>
    <x v="4"/>
  </r>
  <r>
    <x v="2"/>
  </r>
  <r>
    <x v="11"/>
  </r>
  <r>
    <x v="3"/>
  </r>
  <r>
    <x v="4"/>
  </r>
  <r>
    <x v="0"/>
  </r>
  <r>
    <x v="3"/>
  </r>
  <r>
    <x v="5"/>
  </r>
  <r>
    <x v="0"/>
  </r>
  <r>
    <x v="0"/>
  </r>
  <r>
    <x v="15"/>
  </r>
  <r>
    <x v="16"/>
  </r>
  <r>
    <x v="0"/>
  </r>
  <r>
    <x v="4"/>
  </r>
  <r>
    <x v="3"/>
  </r>
  <r>
    <x v="4"/>
  </r>
  <r>
    <x v="4"/>
  </r>
  <r>
    <x v="4"/>
  </r>
  <r>
    <x v="17"/>
  </r>
  <r>
    <x v="0"/>
  </r>
  <r>
    <x v="18"/>
  </r>
  <r>
    <x v="4"/>
  </r>
  <r>
    <x v="0"/>
  </r>
  <r>
    <x v="3"/>
  </r>
  <r>
    <x v="16"/>
  </r>
  <r>
    <x v="3"/>
  </r>
  <r>
    <x v="12"/>
  </r>
  <r>
    <x v="0"/>
  </r>
  <r>
    <x v="0"/>
  </r>
  <r>
    <x v="0"/>
  </r>
  <r>
    <x v="3"/>
  </r>
  <r>
    <x v="0"/>
  </r>
  <r>
    <x v="19"/>
  </r>
  <r>
    <x v="10"/>
  </r>
  <r>
    <x v="0"/>
  </r>
  <r>
    <x v="11"/>
  </r>
  <r>
    <x v="20"/>
  </r>
  <r>
    <x v="16"/>
  </r>
  <r>
    <x v="4"/>
  </r>
  <r>
    <x v="10"/>
  </r>
  <r>
    <x v="10"/>
  </r>
  <r>
    <x v="10"/>
  </r>
  <r>
    <x v="3"/>
  </r>
  <r>
    <x v="1"/>
  </r>
  <r>
    <x v="0"/>
  </r>
  <r>
    <x v="4"/>
  </r>
  <r>
    <x v="0"/>
  </r>
  <r>
    <x v="0"/>
  </r>
  <r>
    <x v="16"/>
  </r>
  <r>
    <x v="3"/>
  </r>
  <r>
    <x v="15"/>
  </r>
  <r>
    <x v="0"/>
  </r>
  <r>
    <x v="1"/>
  </r>
  <r>
    <x v="2"/>
  </r>
  <r>
    <x v="0"/>
  </r>
  <r>
    <x v="4"/>
  </r>
  <r>
    <x v="2"/>
  </r>
  <r>
    <x v="0"/>
  </r>
  <r>
    <x v="10"/>
  </r>
  <r>
    <x v="8"/>
  </r>
  <r>
    <x v="0"/>
  </r>
  <r>
    <x v="0"/>
  </r>
  <r>
    <x v="4"/>
  </r>
  <r>
    <x v="5"/>
  </r>
  <r>
    <x v="4"/>
  </r>
  <r>
    <x v="4"/>
  </r>
  <r>
    <x v="4"/>
  </r>
  <r>
    <x v="21"/>
  </r>
  <r>
    <x v="0"/>
  </r>
  <r>
    <x v="10"/>
  </r>
  <r>
    <x v="17"/>
  </r>
  <r>
    <x v="3"/>
  </r>
  <r>
    <x v="14"/>
  </r>
  <r>
    <x v="0"/>
  </r>
  <r>
    <x v="11"/>
  </r>
  <r>
    <x v="5"/>
  </r>
  <r>
    <x v="4"/>
  </r>
  <r>
    <x v="10"/>
  </r>
  <r>
    <x v="16"/>
  </r>
  <r>
    <x v="12"/>
  </r>
  <r>
    <x v="17"/>
  </r>
  <r>
    <x v="0"/>
  </r>
  <r>
    <x v="4"/>
  </r>
  <r>
    <x v="3"/>
  </r>
  <r>
    <x v="11"/>
  </r>
  <r>
    <x v="5"/>
  </r>
  <r>
    <x v="16"/>
  </r>
  <r>
    <x v="4"/>
  </r>
  <r>
    <x v="5"/>
  </r>
  <r>
    <x v="0"/>
  </r>
  <r>
    <x v="11"/>
  </r>
  <r>
    <x v="10"/>
  </r>
  <r>
    <x v="0"/>
  </r>
  <r>
    <x v="5"/>
  </r>
  <r>
    <x v="17"/>
  </r>
  <r>
    <x v="0"/>
  </r>
  <r>
    <x v="0"/>
  </r>
  <r>
    <x v="5"/>
  </r>
  <r>
    <x v="4"/>
  </r>
  <r>
    <x v="0"/>
  </r>
  <r>
    <x v="10"/>
  </r>
  <r>
    <x v="0"/>
  </r>
  <r>
    <x v="21"/>
  </r>
  <r>
    <x v="0"/>
  </r>
  <r>
    <x v="0"/>
  </r>
  <r>
    <x v="16"/>
  </r>
  <r>
    <x v="3"/>
  </r>
  <r>
    <x v="10"/>
  </r>
  <r>
    <x v="4"/>
  </r>
  <r>
    <x v="18"/>
  </r>
  <r>
    <x v="2"/>
  </r>
  <r>
    <x v="4"/>
  </r>
  <r>
    <x v="0"/>
  </r>
  <r>
    <x v="4"/>
  </r>
  <r>
    <x v="3"/>
  </r>
  <r>
    <x v="2"/>
  </r>
  <r>
    <x v="4"/>
  </r>
  <r>
    <x v="15"/>
  </r>
  <r>
    <x v="11"/>
  </r>
  <r>
    <x v="4"/>
  </r>
  <r>
    <x v="2"/>
  </r>
  <r>
    <x v="3"/>
  </r>
  <r>
    <x v="22"/>
  </r>
  <r>
    <x v="0"/>
  </r>
  <r>
    <x v="1"/>
  </r>
  <r>
    <x v="0"/>
  </r>
  <r>
    <x v="10"/>
  </r>
  <r>
    <x v="0"/>
  </r>
  <r>
    <x v="0"/>
  </r>
  <r>
    <x v="3"/>
  </r>
  <r>
    <x v="0"/>
  </r>
  <r>
    <x v="15"/>
  </r>
  <r>
    <x v="10"/>
  </r>
  <r>
    <x v="5"/>
  </r>
  <r>
    <x v="4"/>
  </r>
  <r>
    <x v="19"/>
  </r>
  <r>
    <x v="0"/>
  </r>
  <r>
    <x v="1"/>
  </r>
  <r>
    <x v="23"/>
  </r>
  <r>
    <x v="4"/>
  </r>
  <r>
    <x v="0"/>
  </r>
  <r>
    <x v="0"/>
  </r>
  <r>
    <x v="16"/>
  </r>
  <r>
    <x v="24"/>
  </r>
  <r>
    <x v="4"/>
  </r>
  <r>
    <x v="0"/>
  </r>
  <r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  <x v="0"/>
  </r>
  <r>
    <x v="1"/>
    <x v="1"/>
    <x v="1"/>
    <x v="1"/>
  </r>
  <r>
    <x v="2"/>
    <x v="2"/>
    <x v="2"/>
    <x v="2"/>
  </r>
  <r>
    <x v="3"/>
    <x v="2"/>
    <x v="3"/>
    <x v="3"/>
  </r>
  <r>
    <x v="3"/>
    <x v="3"/>
    <x v="1"/>
    <x v="4"/>
  </r>
  <r>
    <x v="4"/>
    <x v="4"/>
    <x v="4"/>
    <x v="5"/>
  </r>
  <r>
    <x v="3"/>
    <x v="5"/>
    <x v="2"/>
    <x v="6"/>
  </r>
  <r>
    <x v="4"/>
    <x v="6"/>
    <x v="4"/>
    <x v="7"/>
  </r>
  <r>
    <x v="3"/>
    <x v="3"/>
    <x v="5"/>
    <x v="8"/>
  </r>
  <r>
    <x v="3"/>
    <x v="4"/>
    <x v="6"/>
    <x v="9"/>
  </r>
  <r>
    <x v="0"/>
    <x v="0"/>
    <x v="7"/>
    <x v="10"/>
  </r>
  <r>
    <x v="5"/>
    <x v="4"/>
    <x v="3"/>
    <x v="11"/>
  </r>
  <r>
    <x v="4"/>
    <x v="2"/>
    <x v="4"/>
    <x v="12"/>
  </r>
  <r>
    <x v="4"/>
    <x v="7"/>
    <x v="8"/>
    <x v="13"/>
  </r>
  <r>
    <x v="6"/>
    <x v="4"/>
    <x v="4"/>
    <x v="14"/>
  </r>
  <r>
    <x v="7"/>
    <x v="8"/>
    <x v="9"/>
    <x v="15"/>
  </r>
  <r>
    <x v="8"/>
    <x v="5"/>
    <x v="9"/>
    <x v="16"/>
  </r>
  <r>
    <x v="9"/>
    <x v="4"/>
    <x v="6"/>
    <x v="17"/>
  </r>
  <r>
    <x v="3"/>
    <x v="5"/>
    <x v="9"/>
    <x v="18"/>
  </r>
  <r>
    <x v="0"/>
    <x v="1"/>
    <x v="10"/>
    <x v="19"/>
  </r>
  <r>
    <x v="4"/>
    <x v="9"/>
    <x v="5"/>
    <x v="20"/>
  </r>
  <r>
    <x v="10"/>
    <x v="0"/>
    <x v="4"/>
    <x v="21"/>
  </r>
  <r>
    <x v="3"/>
    <x v="4"/>
    <x v="1"/>
    <x v="22"/>
  </r>
  <r>
    <x v="3"/>
    <x v="2"/>
    <x v="2"/>
    <x v="23"/>
  </r>
  <r>
    <x v="3"/>
    <x v="3"/>
    <x v="11"/>
    <x v="24"/>
  </r>
  <r>
    <x v="2"/>
    <x v="10"/>
    <x v="1"/>
    <x v="25"/>
  </r>
  <r>
    <x v="4"/>
    <x v="4"/>
    <x v="5"/>
    <x v="26"/>
  </r>
  <r>
    <x v="3"/>
    <x v="3"/>
    <x v="3"/>
    <x v="27"/>
  </r>
  <r>
    <x v="4"/>
    <x v="0"/>
    <x v="2"/>
    <x v="28"/>
  </r>
  <r>
    <x v="4"/>
    <x v="5"/>
    <x v="9"/>
    <x v="29"/>
  </r>
  <r>
    <x v="3"/>
    <x v="5"/>
    <x v="8"/>
    <x v="30"/>
  </r>
  <r>
    <x v="3"/>
    <x v="3"/>
    <x v="11"/>
    <x v="31"/>
  </r>
  <r>
    <x v="4"/>
    <x v="11"/>
    <x v="4"/>
    <x v="10"/>
  </r>
  <r>
    <x v="2"/>
    <x v="4"/>
    <x v="9"/>
    <x v="3"/>
  </r>
  <r>
    <x v="3"/>
    <x v="0"/>
    <x v="2"/>
    <x v="5"/>
  </r>
  <r>
    <x v="3"/>
    <x v="4"/>
    <x v="5"/>
    <x v="32"/>
  </r>
  <r>
    <x v="11"/>
    <x v="3"/>
    <x v="2"/>
    <x v="33"/>
  </r>
  <r>
    <x v="12"/>
    <x v="0"/>
    <x v="9"/>
    <x v="34"/>
  </r>
  <r>
    <x v="3"/>
    <x v="4"/>
    <x v="11"/>
    <x v="35"/>
  </r>
  <r>
    <x v="13"/>
    <x v="3"/>
    <x v="12"/>
    <x v="25"/>
  </r>
  <r>
    <x v="14"/>
    <x v="3"/>
    <x v="2"/>
    <x v="36"/>
  </r>
  <r>
    <x v="4"/>
    <x v="2"/>
    <x v="5"/>
    <x v="37"/>
  </r>
  <r>
    <x v="15"/>
    <x v="0"/>
    <x v="4"/>
    <x v="38"/>
  </r>
  <r>
    <x v="16"/>
    <x v="12"/>
    <x v="1"/>
    <x v="39"/>
  </r>
  <r>
    <x v="3"/>
    <x v="3"/>
    <x v="7"/>
    <x v="40"/>
  </r>
  <r>
    <x v="8"/>
    <x v="13"/>
    <x v="9"/>
    <x v="41"/>
  </r>
  <r>
    <x v="3"/>
    <x v="14"/>
    <x v="13"/>
    <x v="42"/>
  </r>
  <r>
    <x v="0"/>
    <x v="1"/>
    <x v="1"/>
    <x v="43"/>
  </r>
  <r>
    <x v="17"/>
    <x v="3"/>
    <x v="4"/>
    <x v="44"/>
  </r>
  <r>
    <x v="3"/>
    <x v="10"/>
    <x v="8"/>
    <x v="45"/>
  </r>
  <r>
    <x v="17"/>
    <x v="5"/>
    <x v="4"/>
    <x v="35"/>
  </r>
  <r>
    <x v="4"/>
    <x v="0"/>
    <x v="5"/>
    <x v="46"/>
  </r>
  <r>
    <x v="15"/>
    <x v="14"/>
    <x v="2"/>
    <x v="47"/>
  </r>
  <r>
    <x v="18"/>
    <x v="4"/>
    <x v="2"/>
    <x v="48"/>
  </r>
  <r>
    <x v="3"/>
    <x v="2"/>
    <x v="7"/>
    <x v="49"/>
  </r>
  <r>
    <x v="4"/>
    <x v="11"/>
    <x v="5"/>
    <x v="50"/>
  </r>
  <r>
    <x v="0"/>
    <x v="3"/>
    <x v="14"/>
    <x v="51"/>
  </r>
  <r>
    <x v="19"/>
    <x v="0"/>
    <x v="8"/>
    <x v="52"/>
  </r>
  <r>
    <x v="3"/>
    <x v="3"/>
    <x v="2"/>
    <x v="53"/>
  </r>
  <r>
    <x v="3"/>
    <x v="5"/>
    <x v="8"/>
    <x v="54"/>
  </r>
  <r>
    <x v="0"/>
    <x v="0"/>
    <x v="10"/>
    <x v="55"/>
  </r>
  <r>
    <x v="0"/>
    <x v="0"/>
    <x v="2"/>
    <x v="56"/>
  </r>
  <r>
    <x v="4"/>
    <x v="15"/>
    <x v="2"/>
    <x v="57"/>
  </r>
  <r>
    <x v="3"/>
    <x v="16"/>
    <x v="13"/>
    <x v="32"/>
  </r>
  <r>
    <x v="10"/>
    <x v="0"/>
    <x v="5"/>
    <x v="58"/>
  </r>
  <r>
    <x v="3"/>
    <x v="4"/>
    <x v="8"/>
    <x v="59"/>
  </r>
  <r>
    <x v="3"/>
    <x v="3"/>
    <x v="4"/>
    <x v="60"/>
  </r>
  <r>
    <x v="9"/>
    <x v="4"/>
    <x v="2"/>
    <x v="61"/>
  </r>
  <r>
    <x v="3"/>
    <x v="4"/>
    <x v="7"/>
    <x v="62"/>
  </r>
  <r>
    <x v="7"/>
    <x v="4"/>
    <x v="4"/>
    <x v="63"/>
  </r>
  <r>
    <x v="0"/>
    <x v="17"/>
    <x v="1"/>
    <x v="64"/>
  </r>
  <r>
    <x v="4"/>
    <x v="0"/>
    <x v="2"/>
    <x v="65"/>
  </r>
  <r>
    <x v="3"/>
    <x v="18"/>
    <x v="3"/>
    <x v="66"/>
  </r>
  <r>
    <x v="3"/>
    <x v="4"/>
    <x v="13"/>
    <x v="43"/>
  </r>
  <r>
    <x v="17"/>
    <x v="0"/>
    <x v="4"/>
    <x v="67"/>
  </r>
  <r>
    <x v="3"/>
    <x v="3"/>
    <x v="4"/>
    <x v="53"/>
  </r>
  <r>
    <x v="3"/>
    <x v="16"/>
    <x v="3"/>
    <x v="68"/>
  </r>
  <r>
    <x v="19"/>
    <x v="3"/>
    <x v="4"/>
    <x v="8"/>
  </r>
  <r>
    <x v="16"/>
    <x v="12"/>
    <x v="0"/>
    <x v="69"/>
  </r>
  <r>
    <x v="2"/>
    <x v="0"/>
    <x v="9"/>
    <x v="70"/>
  </r>
  <r>
    <x v="0"/>
    <x v="0"/>
    <x v="14"/>
    <x v="71"/>
  </r>
  <r>
    <x v="2"/>
    <x v="0"/>
    <x v="4"/>
    <x v="72"/>
  </r>
  <r>
    <x v="3"/>
    <x v="3"/>
    <x v="15"/>
    <x v="71"/>
  </r>
  <r>
    <x v="4"/>
    <x v="0"/>
    <x v="4"/>
    <x v="34"/>
  </r>
  <r>
    <x v="19"/>
    <x v="19"/>
    <x v="16"/>
    <x v="73"/>
  </r>
  <r>
    <x v="15"/>
    <x v="10"/>
    <x v="4"/>
    <x v="74"/>
  </r>
  <r>
    <x v="20"/>
    <x v="0"/>
    <x v="17"/>
    <x v="75"/>
  </r>
  <r>
    <x v="19"/>
    <x v="11"/>
    <x v="18"/>
    <x v="76"/>
  </r>
  <r>
    <x v="21"/>
    <x v="20"/>
    <x v="5"/>
    <x v="23"/>
  </r>
  <r>
    <x v="13"/>
    <x v="16"/>
    <x v="3"/>
    <x v="77"/>
  </r>
  <r>
    <x v="11"/>
    <x v="4"/>
    <x v="6"/>
    <x v="78"/>
  </r>
  <r>
    <x v="17"/>
    <x v="10"/>
    <x v="8"/>
    <x v="79"/>
  </r>
  <r>
    <x v="3"/>
    <x v="10"/>
    <x v="9"/>
    <x v="80"/>
  </r>
  <r>
    <x v="3"/>
    <x v="10"/>
    <x v="13"/>
    <x v="77"/>
  </r>
  <r>
    <x v="3"/>
    <x v="3"/>
    <x v="3"/>
    <x v="81"/>
  </r>
  <r>
    <x v="0"/>
    <x v="1"/>
    <x v="14"/>
    <x v="82"/>
  </r>
  <r>
    <x v="8"/>
    <x v="0"/>
    <x v="5"/>
    <x v="83"/>
  </r>
  <r>
    <x v="3"/>
    <x v="4"/>
    <x v="7"/>
    <x v="84"/>
  </r>
  <r>
    <x v="2"/>
    <x v="0"/>
    <x v="9"/>
    <x v="85"/>
  </r>
  <r>
    <x v="3"/>
    <x v="0"/>
    <x v="6"/>
    <x v="0"/>
  </r>
  <r>
    <x v="3"/>
    <x v="16"/>
    <x v="4"/>
    <x v="86"/>
  </r>
  <r>
    <x v="3"/>
    <x v="3"/>
    <x v="5"/>
    <x v="87"/>
  </r>
  <r>
    <x v="3"/>
    <x v="15"/>
    <x v="6"/>
    <x v="88"/>
  </r>
  <r>
    <x v="4"/>
    <x v="0"/>
    <x v="9"/>
    <x v="85"/>
  </r>
  <r>
    <x v="0"/>
    <x v="1"/>
    <x v="1"/>
    <x v="26"/>
  </r>
  <r>
    <x v="3"/>
    <x v="2"/>
    <x v="4"/>
    <x v="89"/>
  </r>
  <r>
    <x v="15"/>
    <x v="0"/>
    <x v="5"/>
    <x v="90"/>
  </r>
  <r>
    <x v="7"/>
    <x v="4"/>
    <x v="4"/>
    <x v="91"/>
  </r>
  <r>
    <x v="12"/>
    <x v="2"/>
    <x v="1"/>
    <x v="92"/>
  </r>
  <r>
    <x v="3"/>
    <x v="0"/>
    <x v="1"/>
    <x v="93"/>
  </r>
  <r>
    <x v="0"/>
    <x v="10"/>
    <x v="8"/>
    <x v="66"/>
  </r>
  <r>
    <x v="0"/>
    <x v="8"/>
    <x v="10"/>
    <x v="41"/>
  </r>
  <r>
    <x v="3"/>
    <x v="0"/>
    <x v="4"/>
    <x v="94"/>
  </r>
  <r>
    <x v="0"/>
    <x v="0"/>
    <x v="14"/>
    <x v="95"/>
  </r>
  <r>
    <x v="9"/>
    <x v="4"/>
    <x v="8"/>
    <x v="96"/>
  </r>
  <r>
    <x v="17"/>
    <x v="5"/>
    <x v="8"/>
    <x v="96"/>
  </r>
  <r>
    <x v="4"/>
    <x v="4"/>
    <x v="2"/>
    <x v="50"/>
  </r>
  <r>
    <x v="4"/>
    <x v="4"/>
    <x v="6"/>
    <x v="97"/>
  </r>
  <r>
    <x v="12"/>
    <x v="4"/>
    <x v="8"/>
    <x v="22"/>
  </r>
  <r>
    <x v="3"/>
    <x v="21"/>
    <x v="7"/>
    <x v="98"/>
  </r>
  <r>
    <x v="10"/>
    <x v="0"/>
    <x v="0"/>
    <x v="91"/>
  </r>
  <r>
    <x v="17"/>
    <x v="10"/>
    <x v="1"/>
    <x v="99"/>
  </r>
  <r>
    <x v="0"/>
    <x v="17"/>
    <x v="0"/>
    <x v="35"/>
  </r>
  <r>
    <x v="3"/>
    <x v="3"/>
    <x v="8"/>
    <x v="12"/>
  </r>
  <r>
    <x v="17"/>
    <x v="14"/>
    <x v="9"/>
    <x v="100"/>
  </r>
  <r>
    <x v="4"/>
    <x v="0"/>
    <x v="9"/>
    <x v="101"/>
  </r>
  <r>
    <x v="4"/>
    <x v="11"/>
    <x v="4"/>
    <x v="102"/>
  </r>
  <r>
    <x v="3"/>
    <x v="5"/>
    <x v="9"/>
    <x v="44"/>
  </r>
  <r>
    <x v="18"/>
    <x v="4"/>
    <x v="5"/>
    <x v="97"/>
  </r>
  <r>
    <x v="3"/>
    <x v="10"/>
    <x v="8"/>
    <x v="103"/>
  </r>
  <r>
    <x v="3"/>
    <x v="16"/>
    <x v="13"/>
    <x v="41"/>
  </r>
  <r>
    <x v="0"/>
    <x v="12"/>
    <x v="2"/>
    <x v="104"/>
  </r>
  <r>
    <x v="0"/>
    <x v="17"/>
    <x v="2"/>
    <x v="105"/>
  </r>
  <r>
    <x v="4"/>
    <x v="0"/>
    <x v="4"/>
    <x v="106"/>
  </r>
  <r>
    <x v="3"/>
    <x v="4"/>
    <x v="8"/>
    <x v="107"/>
  </r>
  <r>
    <x v="3"/>
    <x v="3"/>
    <x v="15"/>
    <x v="108"/>
  </r>
  <r>
    <x v="4"/>
    <x v="11"/>
    <x v="5"/>
    <x v="19"/>
  </r>
  <r>
    <x v="3"/>
    <x v="5"/>
    <x v="4"/>
    <x v="109"/>
  </r>
  <r>
    <x v="3"/>
    <x v="16"/>
    <x v="1"/>
    <x v="110"/>
  </r>
  <r>
    <x v="19"/>
    <x v="4"/>
    <x v="19"/>
    <x v="91"/>
  </r>
  <r>
    <x v="3"/>
    <x v="5"/>
    <x v="3"/>
    <x v="19"/>
  </r>
  <r>
    <x v="7"/>
    <x v="0"/>
    <x v="6"/>
    <x v="111"/>
  </r>
  <r>
    <x v="0"/>
    <x v="11"/>
    <x v="0"/>
    <x v="112"/>
  </r>
  <r>
    <x v="3"/>
    <x v="10"/>
    <x v="5"/>
    <x v="113"/>
  </r>
  <r>
    <x v="4"/>
    <x v="0"/>
    <x v="8"/>
    <x v="77"/>
  </r>
  <r>
    <x v="18"/>
    <x v="5"/>
    <x v="9"/>
    <x v="8"/>
  </r>
  <r>
    <x v="0"/>
    <x v="17"/>
    <x v="2"/>
    <x v="66"/>
  </r>
  <r>
    <x v="10"/>
    <x v="0"/>
    <x v="0"/>
    <x v="9"/>
  </r>
  <r>
    <x v="6"/>
    <x v="0"/>
    <x v="4"/>
    <x v="76"/>
  </r>
  <r>
    <x v="3"/>
    <x v="5"/>
    <x v="4"/>
    <x v="69"/>
  </r>
  <r>
    <x v="7"/>
    <x v="4"/>
    <x v="9"/>
    <x v="94"/>
  </r>
  <r>
    <x v="22"/>
    <x v="0"/>
    <x v="6"/>
    <x v="114"/>
  </r>
  <r>
    <x v="11"/>
    <x v="10"/>
    <x v="9"/>
    <x v="115"/>
  </r>
  <r>
    <x v="0"/>
    <x v="0"/>
    <x v="8"/>
    <x v="102"/>
  </r>
  <r>
    <x v="23"/>
    <x v="21"/>
    <x v="8"/>
    <x v="116"/>
  </r>
  <r>
    <x v="3"/>
    <x v="0"/>
    <x v="9"/>
    <x v="88"/>
  </r>
  <r>
    <x v="0"/>
    <x v="0"/>
    <x v="14"/>
    <x v="14"/>
  </r>
  <r>
    <x v="3"/>
    <x v="16"/>
    <x v="3"/>
    <x v="117"/>
  </r>
  <r>
    <x v="17"/>
    <x v="3"/>
    <x v="4"/>
    <x v="118"/>
  </r>
  <r>
    <x v="15"/>
    <x v="10"/>
    <x v="2"/>
    <x v="10"/>
  </r>
  <r>
    <x v="3"/>
    <x v="4"/>
    <x v="9"/>
    <x v="119"/>
  </r>
  <r>
    <x v="22"/>
    <x v="18"/>
    <x v="3"/>
    <x v="120"/>
  </r>
  <r>
    <x v="24"/>
    <x v="2"/>
    <x v="17"/>
    <x v="110"/>
  </r>
  <r>
    <x v="6"/>
    <x v="4"/>
    <x v="9"/>
    <x v="121"/>
  </r>
  <r>
    <x v="12"/>
    <x v="0"/>
    <x v="3"/>
    <x v="22"/>
  </r>
  <r>
    <x v="3"/>
    <x v="4"/>
    <x v="11"/>
    <x v="122"/>
  </r>
  <r>
    <x v="3"/>
    <x v="3"/>
    <x v="5"/>
    <x v="123"/>
  </r>
  <r>
    <x v="12"/>
    <x v="2"/>
    <x v="20"/>
    <x v="91"/>
  </r>
  <r>
    <x v="12"/>
    <x v="4"/>
    <x v="5"/>
    <x v="124"/>
  </r>
  <r>
    <x v="3"/>
    <x v="15"/>
    <x v="2"/>
    <x v="125"/>
  </r>
  <r>
    <x v="4"/>
    <x v="11"/>
    <x v="5"/>
    <x v="14"/>
  </r>
  <r>
    <x v="3"/>
    <x v="4"/>
    <x v="3"/>
    <x v="92"/>
  </r>
  <r>
    <x v="4"/>
    <x v="2"/>
    <x v="2"/>
    <x v="76"/>
  </r>
  <r>
    <x v="3"/>
    <x v="3"/>
    <x v="5"/>
    <x v="126"/>
  </r>
  <r>
    <x v="19"/>
    <x v="22"/>
    <x v="0"/>
    <x v="127"/>
  </r>
  <r>
    <x v="11"/>
    <x v="0"/>
    <x v="3"/>
    <x v="128"/>
  </r>
  <r>
    <x v="19"/>
    <x v="1"/>
    <x v="6"/>
    <x v="113"/>
  </r>
  <r>
    <x v="4"/>
    <x v="0"/>
    <x v="5"/>
    <x v="129"/>
  </r>
  <r>
    <x v="3"/>
    <x v="10"/>
    <x v="2"/>
    <x v="130"/>
  </r>
  <r>
    <x v="5"/>
    <x v="0"/>
    <x v="2"/>
    <x v="131"/>
  </r>
  <r>
    <x v="3"/>
    <x v="0"/>
    <x v="4"/>
    <x v="132"/>
  </r>
  <r>
    <x v="3"/>
    <x v="3"/>
    <x v="6"/>
    <x v="133"/>
  </r>
  <r>
    <x v="3"/>
    <x v="0"/>
    <x v="8"/>
    <x v="134"/>
  </r>
  <r>
    <x v="5"/>
    <x v="15"/>
    <x v="8"/>
    <x v="13"/>
  </r>
  <r>
    <x v="3"/>
    <x v="10"/>
    <x v="13"/>
    <x v="135"/>
  </r>
  <r>
    <x v="1"/>
    <x v="5"/>
    <x v="8"/>
    <x v="25"/>
  </r>
  <r>
    <x v="3"/>
    <x v="4"/>
    <x v="9"/>
    <x v="136"/>
  </r>
  <r>
    <x v="3"/>
    <x v="19"/>
    <x v="4"/>
    <x v="137"/>
  </r>
  <r>
    <x v="3"/>
    <x v="0"/>
    <x v="11"/>
    <x v="138"/>
  </r>
  <r>
    <x v="0"/>
    <x v="1"/>
    <x v="0"/>
    <x v="139"/>
  </r>
  <r>
    <x v="19"/>
    <x v="0"/>
    <x v="8"/>
    <x v="15"/>
  </r>
  <r>
    <x v="9"/>
    <x v="4"/>
    <x v="6"/>
    <x v="37"/>
  </r>
  <r>
    <x v="3"/>
    <x v="0"/>
    <x v="5"/>
    <x v="140"/>
  </r>
  <r>
    <x v="0"/>
    <x v="0"/>
    <x v="1"/>
    <x v="64"/>
  </r>
  <r>
    <x v="3"/>
    <x v="16"/>
    <x v="13"/>
    <x v="113"/>
  </r>
  <r>
    <x v="3"/>
    <x v="23"/>
    <x v="8"/>
    <x v="141"/>
  </r>
  <r>
    <x v="7"/>
    <x v="4"/>
    <x v="4"/>
    <x v="111"/>
  </r>
  <r>
    <x v="24"/>
    <x v="0"/>
    <x v="5"/>
    <x v="72"/>
  </r>
  <r>
    <x v="8"/>
    <x v="23"/>
    <x v="5"/>
    <x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04DCE-EDA6-7B46-A9C9-ED070DBB556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8" firstHeaderRow="1" firstDataRow="1" firstDataCol="1"/>
  <pivotFields count="4">
    <pivotField showAll="0">
      <items count="26">
        <item x="8"/>
        <item x="14"/>
        <item x="11"/>
        <item x="9"/>
        <item x="18"/>
        <item x="3"/>
        <item x="2"/>
        <item x="22"/>
        <item x="4"/>
        <item x="13"/>
        <item x="12"/>
        <item x="6"/>
        <item x="20"/>
        <item x="5"/>
        <item x="1"/>
        <item x="10"/>
        <item x="17"/>
        <item x="23"/>
        <item x="15"/>
        <item x="24"/>
        <item x="19"/>
        <item x="0"/>
        <item x="21"/>
        <item x="16"/>
        <item x="7"/>
        <item t="default"/>
      </items>
    </pivotField>
    <pivotField axis="axisRow" dataField="1" showAll="0">
      <items count="25">
        <item x="17"/>
        <item x="0"/>
        <item x="6"/>
        <item x="3"/>
        <item x="22"/>
        <item x="7"/>
        <item x="4"/>
        <item x="8"/>
        <item x="1"/>
        <item x="14"/>
        <item x="10"/>
        <item x="20"/>
        <item x="9"/>
        <item x="23"/>
        <item x="15"/>
        <item x="13"/>
        <item x="19"/>
        <item x="16"/>
        <item x="21"/>
        <item x="2"/>
        <item x="12"/>
        <item x="11"/>
        <item x="5"/>
        <item x="18"/>
        <item t="default"/>
      </items>
    </pivotField>
    <pivotField showAll="0">
      <items count="22">
        <item x="13"/>
        <item x="10"/>
        <item x="7"/>
        <item x="14"/>
        <item x="1"/>
        <item x="18"/>
        <item x="3"/>
        <item x="2"/>
        <item x="0"/>
        <item x="8"/>
        <item x="16"/>
        <item x="4"/>
        <item x="19"/>
        <item x="9"/>
        <item x="5"/>
        <item x="17"/>
        <item x="6"/>
        <item x="11"/>
        <item x="12"/>
        <item x="15"/>
        <item x="20"/>
        <item t="default"/>
      </items>
    </pivotField>
    <pivotField showAll="0">
      <items count="143">
        <item x="82"/>
        <item x="118"/>
        <item x="57"/>
        <item x="81"/>
        <item x="96"/>
        <item x="41"/>
        <item x="45"/>
        <item x="14"/>
        <item x="119"/>
        <item x="8"/>
        <item x="115"/>
        <item x="34"/>
        <item x="72"/>
        <item x="29"/>
        <item x="107"/>
        <item x="108"/>
        <item x="120"/>
        <item x="79"/>
        <item x="70"/>
        <item x="63"/>
        <item x="100"/>
        <item x="98"/>
        <item x="65"/>
        <item x="141"/>
        <item x="102"/>
        <item x="138"/>
        <item x="132"/>
        <item x="40"/>
        <item x="97"/>
        <item x="33"/>
        <item x="2"/>
        <item x="101"/>
        <item x="69"/>
        <item x="44"/>
        <item x="22"/>
        <item x="87"/>
        <item x="15"/>
        <item x="25"/>
        <item x="83"/>
        <item x="62"/>
        <item x="133"/>
        <item x="59"/>
        <item x="110"/>
        <item x="58"/>
        <item x="125"/>
        <item x="136"/>
        <item x="49"/>
        <item x="129"/>
        <item x="42"/>
        <item x="38"/>
        <item x="123"/>
        <item x="135"/>
        <item x="68"/>
        <item x="51"/>
        <item x="139"/>
        <item x="111"/>
        <item x="121"/>
        <item x="32"/>
        <item x="36"/>
        <item x="71"/>
        <item x="3"/>
        <item x="39"/>
        <item x="84"/>
        <item x="127"/>
        <item x="31"/>
        <item x="1"/>
        <item x="19"/>
        <item x="117"/>
        <item x="46"/>
        <item x="6"/>
        <item x="130"/>
        <item x="12"/>
        <item x="93"/>
        <item x="21"/>
        <item x="35"/>
        <item x="112"/>
        <item x="50"/>
        <item x="77"/>
        <item x="89"/>
        <item x="75"/>
        <item x="17"/>
        <item x="66"/>
        <item x="92"/>
        <item x="53"/>
        <item x="78"/>
        <item x="103"/>
        <item x="43"/>
        <item x="131"/>
        <item x="114"/>
        <item x="52"/>
        <item x="37"/>
        <item x="67"/>
        <item x="28"/>
        <item x="73"/>
        <item x="88"/>
        <item x="109"/>
        <item x="23"/>
        <item x="126"/>
        <item x="54"/>
        <item x="55"/>
        <item x="86"/>
        <item x="13"/>
        <item x="113"/>
        <item x="30"/>
        <item x="134"/>
        <item x="47"/>
        <item x="10"/>
        <item x="85"/>
        <item x="24"/>
        <item x="18"/>
        <item x="74"/>
        <item x="9"/>
        <item x="27"/>
        <item x="105"/>
        <item x="94"/>
        <item x="106"/>
        <item x="104"/>
        <item x="16"/>
        <item x="124"/>
        <item x="137"/>
        <item x="116"/>
        <item x="140"/>
        <item x="90"/>
        <item x="48"/>
        <item x="60"/>
        <item x="122"/>
        <item x="26"/>
        <item x="5"/>
        <item x="61"/>
        <item x="80"/>
        <item x="7"/>
        <item x="0"/>
        <item x="11"/>
        <item x="76"/>
        <item x="56"/>
        <item x="95"/>
        <item x="4"/>
        <item x="99"/>
        <item x="128"/>
        <item x="64"/>
        <item x="91"/>
        <item x="20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color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92DEF-B5FA-5842-B3B8-1AD587057E6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4:T40" firstHeaderRow="1" firstDataRow="1" firstDataCol="1"/>
  <pivotFields count="1">
    <pivotField axis="axisRow" dataField="1" showAll="0" sortType="ascending">
      <items count="26">
        <item x="17"/>
        <item x="0"/>
        <item x="6"/>
        <item x="3"/>
        <item x="22"/>
        <item x="7"/>
        <item x="4"/>
        <item x="8"/>
        <item x="1"/>
        <item x="14"/>
        <item x="10"/>
        <item x="20"/>
        <item x="9"/>
        <item x="24"/>
        <item x="15"/>
        <item x="13"/>
        <item x="19"/>
        <item x="16"/>
        <item x="21"/>
        <item x="2"/>
        <item x="12"/>
        <item x="11"/>
        <item x="5"/>
        <item x="18"/>
        <item x="23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col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BAF6D9-A584-844F-B822-CF4E9B569A69}" name="Table2" displayName="Table2" ref="A1:D200" totalsRowShown="0" headerRowDxfId="5" dataDxfId="4">
  <autoFilter ref="A1:D200" xr:uid="{AEBAF6D9-A584-844F-B822-CF4E9B569A69}"/>
  <tableColumns count="4">
    <tableColumn id="1" xr3:uid="{B584C7CD-5494-4D49-B816-9078E31D4E9A}" name="brand" dataDxfId="3"/>
    <tableColumn id="2" xr3:uid="{49B75BA4-F558-514B-BEEA-C369825AE708}" name="color" dataDxfId="2"/>
    <tableColumn id="3" xr3:uid="{FE3B953D-390F-AD44-A627-61E950D61CDC}" name="size" dataDxfId="1"/>
    <tableColumn id="4" xr3:uid="{00ED9AEB-0C19-F241-859C-3AFBEA5D0365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3784-C9E1-CB41-92EF-8CCEDA055AD5}">
  <dimension ref="A1:R28"/>
  <sheetViews>
    <sheetView tabSelected="1" zoomScale="125" workbookViewId="0">
      <selection activeCell="C3" sqref="C3"/>
    </sheetView>
  </sheetViews>
  <sheetFormatPr baseColWidth="10" defaultRowHeight="15" x14ac:dyDescent="0.2"/>
  <cols>
    <col min="1" max="1" width="12" bestFit="1" customWidth="1"/>
    <col min="2" max="2" width="11.83203125" bestFit="1" customWidth="1"/>
    <col min="3" max="3" width="5.1640625" bestFit="1" customWidth="1"/>
    <col min="4" max="4" width="4.5" bestFit="1" customWidth="1"/>
    <col min="5" max="5" width="8.33203125" bestFit="1" customWidth="1"/>
    <col min="6" max="6" width="8.6640625" bestFit="1" customWidth="1"/>
    <col min="7" max="7" width="5.6640625" bestFit="1" customWidth="1"/>
    <col min="8" max="8" width="4.33203125" bestFit="1" customWidth="1"/>
    <col min="9" max="9" width="6.1640625" bestFit="1" customWidth="1"/>
    <col min="10" max="10" width="11.5" bestFit="1" customWidth="1"/>
    <col min="11" max="11" width="8.83203125" bestFit="1" customWidth="1"/>
    <col min="12" max="12" width="8" bestFit="1" customWidth="1"/>
    <col min="13" max="13" width="11.83203125" bestFit="1" customWidth="1"/>
    <col min="14" max="14" width="24" customWidth="1"/>
    <col min="15" max="15" width="12.1640625" customWidth="1"/>
    <col min="16" max="16" width="5.1640625" bestFit="1" customWidth="1"/>
    <col min="17" max="17" width="20" customWidth="1"/>
    <col min="18" max="18" width="24.6640625" customWidth="1"/>
    <col min="19" max="19" width="5.6640625" bestFit="1" customWidth="1"/>
    <col min="20" max="20" width="7" bestFit="1" customWidth="1"/>
    <col min="21" max="21" width="5.33203125" bestFit="1" customWidth="1"/>
    <col min="22" max="22" width="9.33203125" bestFit="1" customWidth="1"/>
    <col min="23" max="23" width="9" bestFit="1" customWidth="1"/>
    <col min="24" max="24" width="6.5" bestFit="1" customWidth="1"/>
    <col min="25" max="25" width="11" bestFit="1" customWidth="1"/>
    <col min="26" max="26" width="9" bestFit="1" customWidth="1"/>
    <col min="27" max="27" width="10" bestFit="1" customWidth="1"/>
  </cols>
  <sheetData>
    <row r="1" spans="1:18" ht="20" thickBot="1" x14ac:dyDescent="0.3">
      <c r="A1" s="17" t="s">
        <v>76</v>
      </c>
      <c r="B1" s="17"/>
      <c r="N1" s="14" t="s">
        <v>77</v>
      </c>
    </row>
    <row r="2" spans="1:18" ht="19" customHeight="1" x14ac:dyDescent="0.2">
      <c r="N2" s="6" t="s">
        <v>63</v>
      </c>
      <c r="O2" s="11">
        <f>AVERAGE(Table2[price])</f>
        <v>212.55778894472363</v>
      </c>
      <c r="Q2" s="18" t="s">
        <v>75</v>
      </c>
      <c r="R2" s="19"/>
    </row>
    <row r="3" spans="1:18" ht="19" customHeight="1" x14ac:dyDescent="0.2">
      <c r="A3" s="2" t="s">
        <v>53</v>
      </c>
      <c r="B3" t="s">
        <v>56</v>
      </c>
      <c r="N3" s="5" t="s">
        <v>57</v>
      </c>
      <c r="O3" s="12">
        <f>MEDIAN(Table2[price])</f>
        <v>211</v>
      </c>
      <c r="Q3" s="20"/>
      <c r="R3" s="21"/>
    </row>
    <row r="4" spans="1:18" ht="19" x14ac:dyDescent="0.25">
      <c r="A4" s="3" t="s">
        <v>41</v>
      </c>
      <c r="B4" s="24">
        <v>4</v>
      </c>
      <c r="N4" s="5" t="s">
        <v>61</v>
      </c>
      <c r="O4" s="11">
        <f>SKEW(Table2[price])</f>
        <v>2.8166344222844242E-2</v>
      </c>
      <c r="Q4" s="15" t="s">
        <v>64</v>
      </c>
      <c r="R4" s="8">
        <v>212.55778894472363</v>
      </c>
    </row>
    <row r="5" spans="1:18" ht="19" x14ac:dyDescent="0.25">
      <c r="A5" s="3" t="s">
        <v>5</v>
      </c>
      <c r="B5" s="24">
        <v>49</v>
      </c>
      <c r="N5" s="5" t="s">
        <v>58</v>
      </c>
      <c r="O5" s="11">
        <f>KURT(Table2[price])</f>
        <v>-1.2336424992921056</v>
      </c>
      <c r="Q5" s="15" t="s">
        <v>65</v>
      </c>
      <c r="R5" s="8">
        <v>5.6016910235582795</v>
      </c>
    </row>
    <row r="6" spans="1:18" ht="19" x14ac:dyDescent="0.25">
      <c r="A6" s="3" t="s">
        <v>15</v>
      </c>
      <c r="B6" s="24">
        <v>1</v>
      </c>
      <c r="N6" s="5" t="s">
        <v>59</v>
      </c>
      <c r="O6" s="12">
        <f>MAX(Table2[price])</f>
        <v>350</v>
      </c>
      <c r="Q6" s="15" t="s">
        <v>57</v>
      </c>
      <c r="R6" s="8">
        <v>211</v>
      </c>
    </row>
    <row r="7" spans="1:18" ht="19" x14ac:dyDescent="0.25">
      <c r="A7" s="3" t="s">
        <v>11</v>
      </c>
      <c r="B7" s="24">
        <v>24</v>
      </c>
      <c r="N7" s="5" t="s">
        <v>60</v>
      </c>
      <c r="O7" s="12">
        <f>MIN(Table2[price])</f>
        <v>80</v>
      </c>
      <c r="Q7" s="15" t="s">
        <v>66</v>
      </c>
      <c r="R7" s="8">
        <v>347</v>
      </c>
    </row>
    <row r="8" spans="1:18" ht="19" x14ac:dyDescent="0.25">
      <c r="A8" s="3" t="s">
        <v>51</v>
      </c>
      <c r="B8" s="24">
        <v>1</v>
      </c>
      <c r="N8" s="5" t="s">
        <v>62</v>
      </c>
      <c r="O8" s="11">
        <f>_xlfn.STDEV.S(Table2[price])</f>
        <v>79.021576309001006</v>
      </c>
      <c r="Q8" s="15" t="s">
        <v>67</v>
      </c>
      <c r="R8" s="8">
        <v>79.021576309001006</v>
      </c>
    </row>
    <row r="9" spans="1:18" ht="19" x14ac:dyDescent="0.25">
      <c r="A9" s="3" t="s">
        <v>17</v>
      </c>
      <c r="B9" s="24">
        <v>1</v>
      </c>
      <c r="Q9" s="15" t="s">
        <v>68</v>
      </c>
      <c r="R9" s="8">
        <v>6244.4095223592685</v>
      </c>
    </row>
    <row r="10" spans="1:18" ht="19" x14ac:dyDescent="0.25">
      <c r="A10" s="3" t="s">
        <v>13</v>
      </c>
      <c r="B10" s="24">
        <v>35</v>
      </c>
      <c r="Q10" s="15" t="s">
        <v>58</v>
      </c>
      <c r="R10" s="8">
        <v>-1.2336424992921056</v>
      </c>
    </row>
    <row r="11" spans="1:18" ht="19" x14ac:dyDescent="0.25">
      <c r="A11" s="3" t="s">
        <v>20</v>
      </c>
      <c r="B11" s="24">
        <v>2</v>
      </c>
      <c r="Q11" s="15" t="s">
        <v>69</v>
      </c>
      <c r="R11" s="8">
        <v>2.8166344222844242E-2</v>
      </c>
    </row>
    <row r="12" spans="1:18" ht="19" x14ac:dyDescent="0.25">
      <c r="A12" s="3" t="s">
        <v>7</v>
      </c>
      <c r="B12" s="24">
        <v>7</v>
      </c>
      <c r="Q12" s="15" t="s">
        <v>70</v>
      </c>
      <c r="R12" s="8">
        <v>270</v>
      </c>
    </row>
    <row r="13" spans="1:18" ht="19" x14ac:dyDescent="0.25">
      <c r="A13" s="3" t="s">
        <v>35</v>
      </c>
      <c r="B13" s="24">
        <v>3</v>
      </c>
      <c r="Q13" s="15" t="s">
        <v>71</v>
      </c>
      <c r="R13" s="8">
        <v>80</v>
      </c>
    </row>
    <row r="14" spans="1:18" ht="19" x14ac:dyDescent="0.25">
      <c r="A14" s="3" t="s">
        <v>25</v>
      </c>
      <c r="B14" s="24">
        <v>14</v>
      </c>
      <c r="Q14" s="15" t="s">
        <v>72</v>
      </c>
      <c r="R14" s="8">
        <v>350</v>
      </c>
    </row>
    <row r="15" spans="1:18" ht="19" x14ac:dyDescent="0.25">
      <c r="A15" s="3" t="s">
        <v>46</v>
      </c>
      <c r="B15" s="24">
        <v>1</v>
      </c>
      <c r="Q15" s="15" t="s">
        <v>73</v>
      </c>
      <c r="R15" s="8">
        <v>42299</v>
      </c>
    </row>
    <row r="16" spans="1:18" ht="20" thickBot="1" x14ac:dyDescent="0.3">
      <c r="A16" s="3" t="s">
        <v>23</v>
      </c>
      <c r="B16" s="24">
        <v>1</v>
      </c>
      <c r="Q16" s="16" t="s">
        <v>74</v>
      </c>
      <c r="R16" s="10">
        <v>199</v>
      </c>
    </row>
    <row r="17" spans="1:2" x14ac:dyDescent="0.2">
      <c r="A17" s="3" t="s">
        <v>52</v>
      </c>
      <c r="B17" s="24">
        <v>2</v>
      </c>
    </row>
    <row r="18" spans="1:2" x14ac:dyDescent="0.2">
      <c r="A18" s="3" t="s">
        <v>39</v>
      </c>
      <c r="B18" s="24">
        <v>4</v>
      </c>
    </row>
    <row r="19" spans="1:2" x14ac:dyDescent="0.2">
      <c r="A19" s="3" t="s">
        <v>34</v>
      </c>
      <c r="B19" s="24">
        <v>1</v>
      </c>
    </row>
    <row r="20" spans="1:2" x14ac:dyDescent="0.2">
      <c r="A20" s="3" t="s">
        <v>43</v>
      </c>
      <c r="B20" s="24">
        <v>2</v>
      </c>
    </row>
    <row r="21" spans="1:2" x14ac:dyDescent="0.2">
      <c r="A21" s="3" t="s">
        <v>40</v>
      </c>
      <c r="B21" s="24">
        <v>8</v>
      </c>
    </row>
    <row r="22" spans="1:2" x14ac:dyDescent="0.2">
      <c r="A22" s="3" t="s">
        <v>47</v>
      </c>
      <c r="B22" s="24">
        <v>2</v>
      </c>
    </row>
    <row r="23" spans="1:2" x14ac:dyDescent="0.2">
      <c r="A23" s="3" t="s">
        <v>9</v>
      </c>
      <c r="B23" s="24">
        <v>11</v>
      </c>
    </row>
    <row r="24" spans="1:2" x14ac:dyDescent="0.2">
      <c r="A24" s="3" t="s">
        <v>33</v>
      </c>
      <c r="B24" s="24">
        <v>3</v>
      </c>
    </row>
    <row r="25" spans="1:2" x14ac:dyDescent="0.2">
      <c r="A25" s="3" t="s">
        <v>26</v>
      </c>
      <c r="B25" s="24">
        <v>7</v>
      </c>
    </row>
    <row r="26" spans="1:2" x14ac:dyDescent="0.2">
      <c r="A26" s="3" t="s">
        <v>14</v>
      </c>
      <c r="B26" s="24">
        <v>14</v>
      </c>
    </row>
    <row r="27" spans="1:2" x14ac:dyDescent="0.2">
      <c r="A27" s="3" t="s">
        <v>42</v>
      </c>
      <c r="B27" s="24">
        <v>2</v>
      </c>
    </row>
    <row r="28" spans="1:2" x14ac:dyDescent="0.2">
      <c r="A28" s="3" t="s">
        <v>55</v>
      </c>
      <c r="B28" s="24">
        <v>199</v>
      </c>
    </row>
  </sheetData>
  <mergeCells count="2">
    <mergeCell ref="A1:B1"/>
    <mergeCell ref="Q2:R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DDDF-A5AC-491B-AD70-BFA24C5B059B}">
  <dimension ref="A1:T203"/>
  <sheetViews>
    <sheetView topLeftCell="A30" workbookViewId="0">
      <selection activeCell="L13" sqref="L13"/>
    </sheetView>
  </sheetViews>
  <sheetFormatPr baseColWidth="10" defaultColWidth="8.83203125" defaultRowHeight="19" x14ac:dyDescent="0.25"/>
  <cols>
    <col min="1" max="4" width="25.1640625" style="1" customWidth="1"/>
    <col min="5" max="5" width="16.33203125" customWidth="1"/>
    <col min="6" max="6" width="26" customWidth="1"/>
    <col min="7" max="7" width="25.1640625" customWidth="1"/>
    <col min="8" max="8" width="21.1640625" customWidth="1"/>
    <col min="10" max="10" width="12.1640625" bestFit="1" customWidth="1"/>
    <col min="11" max="11" width="23.33203125" customWidth="1"/>
    <col min="12" max="12" width="22.6640625" customWidth="1"/>
    <col min="19" max="19" width="13.33203125" customWidth="1"/>
    <col min="20" max="20" width="13" customWidth="1"/>
  </cols>
  <sheetData>
    <row r="1" spans="1:20" ht="20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0" x14ac:dyDescent="0.25">
      <c r="A2" s="1" t="s">
        <v>4</v>
      </c>
      <c r="B2" s="1" t="s">
        <v>5</v>
      </c>
      <c r="C2" s="1">
        <v>6.5</v>
      </c>
      <c r="D2" s="1">
        <v>327</v>
      </c>
      <c r="F2" s="6" t="s">
        <v>63</v>
      </c>
      <c r="G2" s="11">
        <f>AVERAGE(Table2[price])</f>
        <v>212.55778894472363</v>
      </c>
      <c r="K2" s="22" t="s">
        <v>75</v>
      </c>
      <c r="L2" s="23"/>
    </row>
    <row r="3" spans="1:20" x14ac:dyDescent="0.25">
      <c r="A3" s="1" t="s">
        <v>6</v>
      </c>
      <c r="B3" s="1" t="s">
        <v>7</v>
      </c>
      <c r="C3" s="1">
        <v>4</v>
      </c>
      <c r="D3" s="1">
        <v>200</v>
      </c>
      <c r="F3" s="5" t="s">
        <v>57</v>
      </c>
      <c r="G3" s="12">
        <f>MEDIAN(Table2[price])</f>
        <v>211</v>
      </c>
      <c r="K3" s="7"/>
      <c r="L3" s="8"/>
    </row>
    <row r="4" spans="1:20" x14ac:dyDescent="0.25">
      <c r="A4" s="1" t="s">
        <v>8</v>
      </c>
      <c r="B4" s="1" t="s">
        <v>9</v>
      </c>
      <c r="C4" s="1">
        <v>6</v>
      </c>
      <c r="D4" s="1">
        <v>133</v>
      </c>
      <c r="F4" s="5" t="s">
        <v>61</v>
      </c>
      <c r="G4" s="11">
        <f>SKEW(Table2[price])</f>
        <v>2.8166344222844242E-2</v>
      </c>
      <c r="K4" s="7" t="s">
        <v>64</v>
      </c>
      <c r="L4" s="8">
        <v>212.55778894472363</v>
      </c>
    </row>
    <row r="5" spans="1:20" x14ac:dyDescent="0.25">
      <c r="A5" s="1" t="s">
        <v>10</v>
      </c>
      <c r="B5" s="1" t="s">
        <v>9</v>
      </c>
      <c r="C5" s="1">
        <v>5</v>
      </c>
      <c r="D5" s="1">
        <v>192</v>
      </c>
      <c r="F5" s="5" t="s">
        <v>58</v>
      </c>
      <c r="G5" s="11">
        <f>KURT(Table2[price])</f>
        <v>-1.2336424992921056</v>
      </c>
      <c r="K5" s="7" t="s">
        <v>65</v>
      </c>
      <c r="L5" s="8">
        <v>5.6016910235582795</v>
      </c>
    </row>
    <row r="6" spans="1:20" x14ac:dyDescent="0.25">
      <c r="A6" s="1" t="s">
        <v>10</v>
      </c>
      <c r="B6" s="1" t="s">
        <v>11</v>
      </c>
      <c r="C6" s="1">
        <v>4</v>
      </c>
      <c r="D6" s="1">
        <v>337</v>
      </c>
      <c r="F6" s="5" t="s">
        <v>59</v>
      </c>
      <c r="G6" s="12">
        <f>MAX(Table2[price])</f>
        <v>350</v>
      </c>
      <c r="K6" s="7" t="s">
        <v>57</v>
      </c>
      <c r="L6" s="8">
        <v>211</v>
      </c>
    </row>
    <row r="7" spans="1:20" x14ac:dyDescent="0.25">
      <c r="A7" s="1" t="s">
        <v>12</v>
      </c>
      <c r="B7" s="1" t="s">
        <v>13</v>
      </c>
      <c r="C7" s="1">
        <v>8</v>
      </c>
      <c r="D7" s="1">
        <v>319</v>
      </c>
      <c r="F7" s="5" t="s">
        <v>60</v>
      </c>
      <c r="G7" s="12">
        <f>MIN(Table2[price])</f>
        <v>80</v>
      </c>
      <c r="K7" s="7" t="s">
        <v>66</v>
      </c>
      <c r="L7" s="8">
        <v>347</v>
      </c>
    </row>
    <row r="8" spans="1:20" x14ac:dyDescent="0.25">
      <c r="A8" s="1" t="s">
        <v>10</v>
      </c>
      <c r="B8" s="1" t="s">
        <v>14</v>
      </c>
      <c r="C8" s="1">
        <v>6</v>
      </c>
      <c r="D8" s="1">
        <v>205</v>
      </c>
      <c r="F8" s="5" t="s">
        <v>62</v>
      </c>
      <c r="G8" s="11">
        <f>_xlfn.STDEV.S(Table2[price])</f>
        <v>79.021576309001006</v>
      </c>
      <c r="K8" s="7" t="s">
        <v>67</v>
      </c>
      <c r="L8" s="8">
        <v>79.021576309001006</v>
      </c>
    </row>
    <row r="9" spans="1:20" x14ac:dyDescent="0.25">
      <c r="A9" s="1" t="s">
        <v>12</v>
      </c>
      <c r="B9" s="1" t="s">
        <v>15</v>
      </c>
      <c r="C9" s="1">
        <v>8</v>
      </c>
      <c r="D9" s="1">
        <v>324</v>
      </c>
      <c r="K9" s="7" t="s">
        <v>68</v>
      </c>
      <c r="L9" s="8">
        <v>6244.4095223592685</v>
      </c>
    </row>
    <row r="10" spans="1:20" x14ac:dyDescent="0.25">
      <c r="A10" s="1" t="s">
        <v>10</v>
      </c>
      <c r="B10" s="1" t="s">
        <v>11</v>
      </c>
      <c r="C10" s="1">
        <v>10</v>
      </c>
      <c r="D10" s="1">
        <v>100</v>
      </c>
      <c r="K10" s="7" t="s">
        <v>58</v>
      </c>
      <c r="L10" s="8">
        <v>-1.2336424992921056</v>
      </c>
    </row>
    <row r="11" spans="1:20" x14ac:dyDescent="0.25">
      <c r="A11" s="1" t="s">
        <v>10</v>
      </c>
      <c r="B11" s="1" t="s">
        <v>13</v>
      </c>
      <c r="C11" s="1">
        <v>11</v>
      </c>
      <c r="D11" s="1">
        <v>291</v>
      </c>
      <c r="K11" s="7" t="s">
        <v>69</v>
      </c>
      <c r="L11" s="8">
        <v>2.8166344222844242E-2</v>
      </c>
    </row>
    <row r="12" spans="1:20" x14ac:dyDescent="0.25">
      <c r="A12" s="1" t="s">
        <v>4</v>
      </c>
      <c r="B12" s="1" t="s">
        <v>5</v>
      </c>
      <c r="C12" s="1">
        <v>3</v>
      </c>
      <c r="D12" s="1">
        <v>278</v>
      </c>
      <c r="K12" s="7" t="s">
        <v>70</v>
      </c>
      <c r="L12" s="8">
        <v>270</v>
      </c>
    </row>
    <row r="13" spans="1:20" x14ac:dyDescent="0.25">
      <c r="A13" s="1" t="s">
        <v>16</v>
      </c>
      <c r="B13" s="1" t="s">
        <v>13</v>
      </c>
      <c r="C13" s="1">
        <v>5</v>
      </c>
      <c r="D13" s="1">
        <v>328</v>
      </c>
      <c r="K13" s="7" t="s">
        <v>71</v>
      </c>
      <c r="L13" s="8">
        <v>80</v>
      </c>
    </row>
    <row r="14" spans="1:20" x14ac:dyDescent="0.25">
      <c r="A14" s="1" t="s">
        <v>12</v>
      </c>
      <c r="B14" s="1" t="s">
        <v>9</v>
      </c>
      <c r="C14" s="1">
        <v>8</v>
      </c>
      <c r="D14" s="1">
        <v>207</v>
      </c>
      <c r="K14" s="7" t="s">
        <v>72</v>
      </c>
      <c r="L14" s="8">
        <v>350</v>
      </c>
      <c r="R14">
        <f>AVERAGE(D2:D203)</f>
        <v>212.55778894472363</v>
      </c>
      <c r="S14" s="2" t="s">
        <v>53</v>
      </c>
      <c r="T14" t="s">
        <v>56</v>
      </c>
    </row>
    <row r="15" spans="1:20" x14ac:dyDescent="0.25">
      <c r="A15" s="1" t="s">
        <v>12</v>
      </c>
      <c r="B15" s="1" t="s">
        <v>17</v>
      </c>
      <c r="C15" s="1">
        <v>7</v>
      </c>
      <c r="D15" s="1">
        <v>271</v>
      </c>
      <c r="K15" s="7" t="s">
        <v>73</v>
      </c>
      <c r="L15" s="8">
        <v>42299</v>
      </c>
      <c r="S15" s="3" t="s">
        <v>41</v>
      </c>
      <c r="T15">
        <v>4</v>
      </c>
    </row>
    <row r="16" spans="1:20" ht="20" thickBot="1" x14ac:dyDescent="0.3">
      <c r="A16" s="1" t="s">
        <v>18</v>
      </c>
      <c r="B16" s="1" t="s">
        <v>13</v>
      </c>
      <c r="C16" s="1">
        <v>8</v>
      </c>
      <c r="D16" s="1">
        <v>96</v>
      </c>
      <c r="K16" s="9" t="s">
        <v>74</v>
      </c>
      <c r="L16" s="10">
        <v>199</v>
      </c>
      <c r="S16" s="3" t="s">
        <v>5</v>
      </c>
      <c r="T16">
        <v>48</v>
      </c>
    </row>
    <row r="17" spans="1:20" x14ac:dyDescent="0.25">
      <c r="A17" s="1" t="s">
        <v>19</v>
      </c>
      <c r="B17" s="1" t="s">
        <v>20</v>
      </c>
      <c r="C17" s="1">
        <v>9</v>
      </c>
      <c r="D17" s="1">
        <v>143</v>
      </c>
      <c r="S17" s="3" t="s">
        <v>15</v>
      </c>
      <c r="T17">
        <v>1</v>
      </c>
    </row>
    <row r="18" spans="1:20" x14ac:dyDescent="0.25">
      <c r="A18" s="1" t="s">
        <v>21</v>
      </c>
      <c r="B18" s="1" t="s">
        <v>14</v>
      </c>
      <c r="C18" s="1">
        <v>9</v>
      </c>
      <c r="D18" s="1">
        <v>300</v>
      </c>
      <c r="S18" s="3" t="s">
        <v>11</v>
      </c>
      <c r="T18">
        <v>25</v>
      </c>
    </row>
    <row r="19" spans="1:20" x14ac:dyDescent="0.25">
      <c r="A19" s="1" t="s">
        <v>22</v>
      </c>
      <c r="B19" s="1" t="s">
        <v>13</v>
      </c>
      <c r="C19" s="1">
        <v>11</v>
      </c>
      <c r="D19" s="1">
        <v>227</v>
      </c>
      <c r="S19" s="3" t="s">
        <v>51</v>
      </c>
      <c r="T19">
        <v>1</v>
      </c>
    </row>
    <row r="20" spans="1:20" x14ac:dyDescent="0.25">
      <c r="A20" s="1" t="s">
        <v>10</v>
      </c>
      <c r="B20" s="1" t="s">
        <v>14</v>
      </c>
      <c r="C20" s="1">
        <v>9</v>
      </c>
      <c r="D20" s="1">
        <v>286</v>
      </c>
      <c r="S20" s="3" t="s">
        <v>17</v>
      </c>
      <c r="T20">
        <v>1</v>
      </c>
    </row>
    <row r="21" spans="1:20" x14ac:dyDescent="0.25">
      <c r="A21" s="1" t="s">
        <v>4</v>
      </c>
      <c r="B21" s="1" t="s">
        <v>7</v>
      </c>
      <c r="C21" s="1">
        <v>2.5</v>
      </c>
      <c r="D21" s="1">
        <v>201</v>
      </c>
      <c r="S21" s="3" t="s">
        <v>13</v>
      </c>
      <c r="T21">
        <v>37</v>
      </c>
    </row>
    <row r="22" spans="1:20" x14ac:dyDescent="0.25">
      <c r="A22" s="1" t="s">
        <v>12</v>
      </c>
      <c r="B22" s="1" t="s">
        <v>23</v>
      </c>
      <c r="C22" s="1">
        <v>10</v>
      </c>
      <c r="D22" s="1">
        <v>350</v>
      </c>
      <c r="S22" s="3" t="s">
        <v>20</v>
      </c>
      <c r="T22">
        <v>2</v>
      </c>
    </row>
    <row r="23" spans="1:20" x14ac:dyDescent="0.25">
      <c r="A23" s="1" t="s">
        <v>24</v>
      </c>
      <c r="B23" s="1" t="s">
        <v>5</v>
      </c>
      <c r="C23" s="1">
        <v>8</v>
      </c>
      <c r="D23" s="13">
        <v>211</v>
      </c>
      <c r="S23" s="3" t="s">
        <v>7</v>
      </c>
      <c r="T23">
        <v>7</v>
      </c>
    </row>
    <row r="24" spans="1:20" x14ac:dyDescent="0.25">
      <c r="A24" s="1" t="s">
        <v>10</v>
      </c>
      <c r="B24" s="1" t="s">
        <v>13</v>
      </c>
      <c r="C24" s="1">
        <v>4</v>
      </c>
      <c r="D24" s="1">
        <v>141</v>
      </c>
      <c r="S24" s="3" t="s">
        <v>35</v>
      </c>
      <c r="T24">
        <v>3</v>
      </c>
    </row>
    <row r="25" spans="1:20" x14ac:dyDescent="0.25">
      <c r="A25" s="1" t="s">
        <v>10</v>
      </c>
      <c r="B25" s="1" t="s">
        <v>9</v>
      </c>
      <c r="C25" s="1">
        <v>6</v>
      </c>
      <c r="D25" s="1">
        <v>266</v>
      </c>
      <c r="S25" s="3" t="s">
        <v>25</v>
      </c>
      <c r="T25">
        <v>14</v>
      </c>
    </row>
    <row r="26" spans="1:20" x14ac:dyDescent="0.25">
      <c r="A26" s="1" t="s">
        <v>10</v>
      </c>
      <c r="B26" s="1" t="s">
        <v>11</v>
      </c>
      <c r="C26" s="1">
        <v>12</v>
      </c>
      <c r="D26" s="1">
        <v>285</v>
      </c>
      <c r="S26" s="3" t="s">
        <v>46</v>
      </c>
      <c r="T26">
        <v>1</v>
      </c>
    </row>
    <row r="27" spans="1:20" x14ac:dyDescent="0.25">
      <c r="A27" s="1" t="s">
        <v>8</v>
      </c>
      <c r="B27" s="1" t="s">
        <v>25</v>
      </c>
      <c r="C27" s="1">
        <v>4</v>
      </c>
      <c r="D27" s="1">
        <v>144</v>
      </c>
      <c r="S27" s="3" t="s">
        <v>23</v>
      </c>
      <c r="T27">
        <v>1</v>
      </c>
    </row>
    <row r="28" spans="1:20" x14ac:dyDescent="0.25">
      <c r="A28" s="1" t="s">
        <v>12</v>
      </c>
      <c r="B28" s="1" t="s">
        <v>13</v>
      </c>
      <c r="C28" s="1">
        <v>10</v>
      </c>
      <c r="D28" s="1">
        <v>318</v>
      </c>
      <c r="S28" s="3" t="s">
        <v>52</v>
      </c>
      <c r="T28">
        <v>2</v>
      </c>
    </row>
    <row r="29" spans="1:20" x14ac:dyDescent="0.25">
      <c r="A29" s="1" t="s">
        <v>10</v>
      </c>
      <c r="B29" s="1" t="s">
        <v>11</v>
      </c>
      <c r="C29" s="1">
        <v>5</v>
      </c>
      <c r="D29" s="1">
        <v>292</v>
      </c>
      <c r="S29" s="3" t="s">
        <v>39</v>
      </c>
      <c r="T29">
        <v>4</v>
      </c>
    </row>
    <row r="30" spans="1:20" x14ac:dyDescent="0.25">
      <c r="A30" s="1" t="s">
        <v>12</v>
      </c>
      <c r="B30" s="1" t="s">
        <v>5</v>
      </c>
      <c r="C30" s="1">
        <v>6</v>
      </c>
      <c r="D30" s="1">
        <v>255</v>
      </c>
      <c r="S30" s="3" t="s">
        <v>34</v>
      </c>
      <c r="T30">
        <v>1</v>
      </c>
    </row>
    <row r="31" spans="1:20" x14ac:dyDescent="0.25">
      <c r="A31" s="1" t="s">
        <v>12</v>
      </c>
      <c r="B31" s="1" t="s">
        <v>14</v>
      </c>
      <c r="C31" s="1">
        <v>9</v>
      </c>
      <c r="D31" s="1">
        <v>105</v>
      </c>
      <c r="S31" s="3" t="s">
        <v>43</v>
      </c>
      <c r="T31">
        <v>2</v>
      </c>
    </row>
    <row r="32" spans="1:20" x14ac:dyDescent="0.25">
      <c r="A32" s="1" t="s">
        <v>10</v>
      </c>
      <c r="B32" s="1" t="s">
        <v>14</v>
      </c>
      <c r="C32" s="1">
        <v>7</v>
      </c>
      <c r="D32" s="1">
        <v>274</v>
      </c>
      <c r="S32" s="3" t="s">
        <v>40</v>
      </c>
      <c r="T32">
        <v>8</v>
      </c>
    </row>
    <row r="33" spans="1:20" x14ac:dyDescent="0.25">
      <c r="A33" s="1" t="s">
        <v>10</v>
      </c>
      <c r="B33" s="1" t="s">
        <v>11</v>
      </c>
      <c r="C33" s="1">
        <v>12</v>
      </c>
      <c r="D33" s="1">
        <v>199</v>
      </c>
      <c r="S33" s="3" t="s">
        <v>47</v>
      </c>
      <c r="T33">
        <v>2</v>
      </c>
    </row>
    <row r="34" spans="1:20" x14ac:dyDescent="0.25">
      <c r="A34" s="1" t="s">
        <v>12</v>
      </c>
      <c r="B34" s="1" t="s">
        <v>26</v>
      </c>
      <c r="C34" s="1">
        <v>8</v>
      </c>
      <c r="D34" s="1">
        <v>278</v>
      </c>
      <c r="S34" s="3" t="s">
        <v>9</v>
      </c>
      <c r="T34">
        <v>11</v>
      </c>
    </row>
    <row r="35" spans="1:20" x14ac:dyDescent="0.25">
      <c r="A35" s="1" t="s">
        <v>8</v>
      </c>
      <c r="B35" s="1" t="s">
        <v>13</v>
      </c>
      <c r="C35" s="1">
        <v>9</v>
      </c>
      <c r="D35" s="1">
        <v>192</v>
      </c>
      <c r="S35" s="3" t="s">
        <v>33</v>
      </c>
      <c r="T35">
        <v>3</v>
      </c>
    </row>
    <row r="36" spans="1:20" x14ac:dyDescent="0.25">
      <c r="A36" s="1" t="s">
        <v>10</v>
      </c>
      <c r="B36" s="1" t="s">
        <v>5</v>
      </c>
      <c r="C36" s="1">
        <v>6</v>
      </c>
      <c r="D36" s="1">
        <v>319</v>
      </c>
      <c r="S36" s="3" t="s">
        <v>26</v>
      </c>
      <c r="T36">
        <v>7</v>
      </c>
    </row>
    <row r="37" spans="1:20" x14ac:dyDescent="0.25">
      <c r="A37" s="1" t="s">
        <v>10</v>
      </c>
      <c r="B37" s="1" t="s">
        <v>13</v>
      </c>
      <c r="C37" s="1">
        <v>10</v>
      </c>
      <c r="D37" s="1">
        <v>186</v>
      </c>
      <c r="S37" s="3" t="s">
        <v>14</v>
      </c>
      <c r="T37">
        <v>14</v>
      </c>
    </row>
    <row r="38" spans="1:20" x14ac:dyDescent="0.25">
      <c r="A38" s="1" t="s">
        <v>27</v>
      </c>
      <c r="B38" s="1" t="s">
        <v>11</v>
      </c>
      <c r="C38" s="1">
        <v>6</v>
      </c>
      <c r="D38" s="1">
        <v>132</v>
      </c>
      <c r="S38" s="3" t="s">
        <v>42</v>
      </c>
      <c r="T38">
        <v>2</v>
      </c>
    </row>
    <row r="39" spans="1:20" x14ac:dyDescent="0.25">
      <c r="A39" s="1" t="s">
        <v>28</v>
      </c>
      <c r="B39" s="1" t="s">
        <v>5</v>
      </c>
      <c r="C39" s="1">
        <v>9</v>
      </c>
      <c r="D39" s="1">
        <v>103</v>
      </c>
      <c r="S39" s="3" t="s">
        <v>54</v>
      </c>
    </row>
    <row r="40" spans="1:20" x14ac:dyDescent="0.25">
      <c r="A40" s="1" t="s">
        <v>10</v>
      </c>
      <c r="B40" s="1" t="s">
        <v>13</v>
      </c>
      <c r="C40" s="1">
        <v>12</v>
      </c>
      <c r="D40" s="1">
        <v>214</v>
      </c>
      <c r="S40" s="3" t="s">
        <v>55</v>
      </c>
      <c r="T40">
        <v>201</v>
      </c>
    </row>
    <row r="41" spans="1:20" x14ac:dyDescent="0.25">
      <c r="A41" s="1" t="s">
        <v>29</v>
      </c>
      <c r="B41" s="1" t="s">
        <v>11</v>
      </c>
      <c r="C41" s="1">
        <v>12.5</v>
      </c>
      <c r="D41" s="1">
        <v>144</v>
      </c>
    </row>
    <row r="42" spans="1:20" x14ac:dyDescent="0.25">
      <c r="A42" s="1" t="s">
        <v>30</v>
      </c>
      <c r="B42" s="1" t="s">
        <v>11</v>
      </c>
      <c r="C42" s="1">
        <v>6</v>
      </c>
      <c r="D42" s="1">
        <v>189</v>
      </c>
    </row>
    <row r="43" spans="1:20" x14ac:dyDescent="0.25">
      <c r="A43" s="1" t="s">
        <v>12</v>
      </c>
      <c r="B43" s="1" t="s">
        <v>9</v>
      </c>
      <c r="C43" s="1">
        <v>10</v>
      </c>
      <c r="D43" s="1">
        <v>253</v>
      </c>
    </row>
    <row r="44" spans="1:20" x14ac:dyDescent="0.25">
      <c r="A44" s="1" t="s">
        <v>31</v>
      </c>
      <c r="B44" s="1" t="s">
        <v>5</v>
      </c>
      <c r="C44" s="1">
        <v>8</v>
      </c>
      <c r="D44" s="1">
        <v>169</v>
      </c>
    </row>
    <row r="45" spans="1:20" x14ac:dyDescent="0.25">
      <c r="A45" s="1" t="s">
        <v>32</v>
      </c>
      <c r="B45" s="1" t="s">
        <v>33</v>
      </c>
      <c r="C45" s="1">
        <v>4</v>
      </c>
      <c r="D45" s="1">
        <v>193</v>
      </c>
    </row>
    <row r="46" spans="1:20" x14ac:dyDescent="0.25">
      <c r="A46" s="1" t="s">
        <v>10</v>
      </c>
      <c r="B46" s="1" t="s">
        <v>11</v>
      </c>
      <c r="C46" s="1">
        <v>3</v>
      </c>
      <c r="D46" s="1">
        <v>127</v>
      </c>
    </row>
    <row r="47" spans="1:20" x14ac:dyDescent="0.25">
      <c r="A47" s="1" t="s">
        <v>21</v>
      </c>
      <c r="B47" s="1" t="s">
        <v>34</v>
      </c>
      <c r="C47" s="1">
        <v>9</v>
      </c>
      <c r="D47" s="1">
        <v>93</v>
      </c>
    </row>
    <row r="48" spans="1:20" x14ac:dyDescent="0.25">
      <c r="A48" s="1" t="s">
        <v>10</v>
      </c>
      <c r="B48" s="1" t="s">
        <v>35</v>
      </c>
      <c r="C48" s="1">
        <v>2</v>
      </c>
      <c r="D48" s="1">
        <v>166</v>
      </c>
    </row>
    <row r="49" spans="1:4" x14ac:dyDescent="0.25">
      <c r="A49" s="1" t="s">
        <v>4</v>
      </c>
      <c r="B49" s="1" t="s">
        <v>7</v>
      </c>
      <c r="C49" s="1">
        <v>4</v>
      </c>
      <c r="D49" s="1">
        <v>243</v>
      </c>
    </row>
    <row r="50" spans="1:4" x14ac:dyDescent="0.25">
      <c r="A50" s="1" t="s">
        <v>36</v>
      </c>
      <c r="B50" s="1" t="s">
        <v>11</v>
      </c>
      <c r="C50" s="1">
        <v>8</v>
      </c>
      <c r="D50" s="1">
        <v>140</v>
      </c>
    </row>
    <row r="51" spans="1:4" x14ac:dyDescent="0.25">
      <c r="A51" s="1" t="s">
        <v>10</v>
      </c>
      <c r="B51" s="1" t="s">
        <v>25</v>
      </c>
      <c r="C51" s="1">
        <v>7</v>
      </c>
      <c r="D51" s="1">
        <v>94</v>
      </c>
    </row>
    <row r="52" spans="1:4" x14ac:dyDescent="0.25">
      <c r="A52" s="1" t="s">
        <v>36</v>
      </c>
      <c r="B52" s="1" t="s">
        <v>14</v>
      </c>
      <c r="C52" s="1">
        <v>8</v>
      </c>
      <c r="D52" s="1">
        <v>214</v>
      </c>
    </row>
    <row r="53" spans="1:4" x14ac:dyDescent="0.25">
      <c r="A53" s="1" t="s">
        <v>12</v>
      </c>
      <c r="B53" s="1" t="s">
        <v>5</v>
      </c>
      <c r="C53" s="1">
        <v>10</v>
      </c>
      <c r="D53" s="1">
        <v>204</v>
      </c>
    </row>
    <row r="54" spans="1:4" x14ac:dyDescent="0.25">
      <c r="A54" s="1" t="s">
        <v>31</v>
      </c>
      <c r="B54" s="1" t="s">
        <v>35</v>
      </c>
      <c r="C54" s="1">
        <v>6</v>
      </c>
      <c r="D54" s="1">
        <v>277</v>
      </c>
    </row>
    <row r="55" spans="1:4" x14ac:dyDescent="0.25">
      <c r="A55" s="1" t="s">
        <v>37</v>
      </c>
      <c r="B55" s="1" t="s">
        <v>13</v>
      </c>
      <c r="C55" s="1">
        <v>6</v>
      </c>
      <c r="D55" s="1">
        <v>314</v>
      </c>
    </row>
    <row r="56" spans="1:4" x14ac:dyDescent="0.25">
      <c r="A56" s="1" t="s">
        <v>10</v>
      </c>
      <c r="B56" s="1" t="s">
        <v>9</v>
      </c>
      <c r="C56" s="1">
        <v>3</v>
      </c>
      <c r="D56" s="1">
        <v>163</v>
      </c>
    </row>
    <row r="57" spans="1:4" x14ac:dyDescent="0.25">
      <c r="A57" s="1" t="s">
        <v>12</v>
      </c>
      <c r="B57" s="1" t="s">
        <v>26</v>
      </c>
      <c r="C57" s="1">
        <v>10</v>
      </c>
      <c r="D57" s="1">
        <v>219</v>
      </c>
    </row>
    <row r="58" spans="1:4" x14ac:dyDescent="0.25">
      <c r="A58" s="1" t="s">
        <v>4</v>
      </c>
      <c r="B58" s="1" t="s">
        <v>11</v>
      </c>
      <c r="C58" s="1">
        <v>3.5</v>
      </c>
      <c r="D58" s="1">
        <v>177</v>
      </c>
    </row>
    <row r="59" spans="1:4" x14ac:dyDescent="0.25">
      <c r="A59" s="1" t="s">
        <v>38</v>
      </c>
      <c r="B59" s="1" t="s">
        <v>5</v>
      </c>
      <c r="C59" s="1">
        <v>7</v>
      </c>
      <c r="D59" s="1">
        <v>250</v>
      </c>
    </row>
    <row r="60" spans="1:4" x14ac:dyDescent="0.25">
      <c r="A60" s="1" t="s">
        <v>10</v>
      </c>
      <c r="B60" s="1" t="s">
        <v>11</v>
      </c>
      <c r="C60" s="1">
        <v>6</v>
      </c>
      <c r="D60" s="1">
        <v>239</v>
      </c>
    </row>
    <row r="61" spans="1:4" x14ac:dyDescent="0.25">
      <c r="A61" s="1" t="s">
        <v>10</v>
      </c>
      <c r="B61" s="1" t="s">
        <v>14</v>
      </c>
      <c r="C61" s="1">
        <v>7</v>
      </c>
      <c r="D61" s="1">
        <v>268</v>
      </c>
    </row>
    <row r="62" spans="1:4" x14ac:dyDescent="0.25">
      <c r="A62" s="1" t="s">
        <v>4</v>
      </c>
      <c r="B62" s="1" t="s">
        <v>5</v>
      </c>
      <c r="C62" s="1">
        <v>2.5</v>
      </c>
      <c r="D62" s="1">
        <v>269</v>
      </c>
    </row>
    <row r="63" spans="1:4" x14ac:dyDescent="0.25">
      <c r="A63" s="1" t="s">
        <v>4</v>
      </c>
      <c r="B63" s="1" t="s">
        <v>5</v>
      </c>
      <c r="C63" s="1">
        <v>6</v>
      </c>
      <c r="D63" s="1">
        <v>330</v>
      </c>
    </row>
    <row r="64" spans="1:4" x14ac:dyDescent="0.25">
      <c r="A64" s="1" t="s">
        <v>12</v>
      </c>
      <c r="B64" s="1" t="s">
        <v>39</v>
      </c>
      <c r="C64" s="1">
        <v>6</v>
      </c>
      <c r="D64" s="1">
        <v>83</v>
      </c>
    </row>
    <row r="65" spans="1:4" x14ac:dyDescent="0.25">
      <c r="A65" s="1" t="s">
        <v>10</v>
      </c>
      <c r="B65" s="1" t="s">
        <v>40</v>
      </c>
      <c r="C65" s="1">
        <v>2</v>
      </c>
      <c r="D65" s="1">
        <v>186</v>
      </c>
    </row>
    <row r="66" spans="1:4" x14ac:dyDescent="0.25">
      <c r="A66" s="1" t="s">
        <v>24</v>
      </c>
      <c r="B66" s="1" t="s">
        <v>5</v>
      </c>
      <c r="C66" s="1">
        <v>10</v>
      </c>
      <c r="D66" s="1">
        <v>156</v>
      </c>
    </row>
    <row r="67" spans="1:4" x14ac:dyDescent="0.25">
      <c r="A67" s="1" t="s">
        <v>10</v>
      </c>
      <c r="B67" s="1" t="s">
        <v>13</v>
      </c>
      <c r="C67" s="1">
        <v>7</v>
      </c>
      <c r="D67" s="1">
        <v>153</v>
      </c>
    </row>
    <row r="68" spans="1:4" x14ac:dyDescent="0.25">
      <c r="A68" s="1" t="s">
        <v>10</v>
      </c>
      <c r="B68" s="1" t="s">
        <v>11</v>
      </c>
      <c r="C68" s="1">
        <v>8</v>
      </c>
      <c r="D68" s="1">
        <v>316</v>
      </c>
    </row>
    <row r="69" spans="1:4" x14ac:dyDescent="0.25">
      <c r="A69" s="1" t="s">
        <v>22</v>
      </c>
      <c r="B69" s="1" t="s">
        <v>13</v>
      </c>
      <c r="C69" s="1">
        <v>6</v>
      </c>
      <c r="D69" s="1">
        <v>320</v>
      </c>
    </row>
    <row r="70" spans="1:4" x14ac:dyDescent="0.25">
      <c r="A70" s="1" t="s">
        <v>10</v>
      </c>
      <c r="B70" s="1" t="s">
        <v>13</v>
      </c>
      <c r="C70" s="1">
        <v>3</v>
      </c>
      <c r="D70" s="1">
        <v>146</v>
      </c>
    </row>
    <row r="71" spans="1:4" x14ac:dyDescent="0.25">
      <c r="A71" s="1" t="s">
        <v>19</v>
      </c>
      <c r="B71" s="1" t="s">
        <v>13</v>
      </c>
      <c r="C71" s="1">
        <v>8</v>
      </c>
      <c r="D71" s="1">
        <v>113</v>
      </c>
    </row>
    <row r="72" spans="1:4" x14ac:dyDescent="0.25">
      <c r="A72" s="1" t="s">
        <v>4</v>
      </c>
      <c r="B72" s="1" t="s">
        <v>41</v>
      </c>
      <c r="C72" s="1">
        <v>4</v>
      </c>
      <c r="D72" s="1">
        <v>344</v>
      </c>
    </row>
    <row r="73" spans="1:4" x14ac:dyDescent="0.25">
      <c r="A73" s="1" t="s">
        <v>12</v>
      </c>
      <c r="B73" s="1" t="s">
        <v>5</v>
      </c>
      <c r="C73" s="1">
        <v>6</v>
      </c>
      <c r="D73" s="1">
        <v>116</v>
      </c>
    </row>
    <row r="74" spans="1:4" x14ac:dyDescent="0.25">
      <c r="A74" s="1" t="s">
        <v>10</v>
      </c>
      <c r="B74" s="1" t="s">
        <v>42</v>
      </c>
      <c r="C74" s="1">
        <v>5</v>
      </c>
      <c r="D74" s="1">
        <v>233</v>
      </c>
    </row>
    <row r="75" spans="1:4" x14ac:dyDescent="0.25">
      <c r="A75" s="1" t="s">
        <v>10</v>
      </c>
      <c r="B75" s="1" t="s">
        <v>13</v>
      </c>
      <c r="C75" s="1">
        <v>2</v>
      </c>
      <c r="D75" s="1">
        <v>243</v>
      </c>
    </row>
    <row r="76" spans="1:4" x14ac:dyDescent="0.25">
      <c r="A76" s="1" t="s">
        <v>36</v>
      </c>
      <c r="B76" s="1" t="s">
        <v>5</v>
      </c>
      <c r="C76" s="1">
        <v>8</v>
      </c>
      <c r="D76" s="1">
        <v>254</v>
      </c>
    </row>
    <row r="77" spans="1:4" x14ac:dyDescent="0.25">
      <c r="A77" s="1" t="s">
        <v>10</v>
      </c>
      <c r="B77" s="1" t="s">
        <v>11</v>
      </c>
      <c r="C77" s="1">
        <v>8</v>
      </c>
      <c r="D77" s="1">
        <v>239</v>
      </c>
    </row>
    <row r="78" spans="1:4" x14ac:dyDescent="0.25">
      <c r="A78" s="1" t="s">
        <v>10</v>
      </c>
      <c r="B78" s="1" t="s">
        <v>40</v>
      </c>
      <c r="C78" s="1">
        <v>5</v>
      </c>
      <c r="D78" s="1">
        <v>176</v>
      </c>
    </row>
    <row r="79" spans="1:4" x14ac:dyDescent="0.25">
      <c r="A79" s="1" t="s">
        <v>38</v>
      </c>
      <c r="B79" s="1" t="s">
        <v>11</v>
      </c>
      <c r="C79" s="1">
        <v>8</v>
      </c>
      <c r="D79" s="1">
        <v>100</v>
      </c>
    </row>
    <row r="80" spans="1:4" x14ac:dyDescent="0.25">
      <c r="A80" s="1" t="s">
        <v>32</v>
      </c>
      <c r="B80" s="1" t="s">
        <v>33</v>
      </c>
      <c r="C80" s="1">
        <v>6.5</v>
      </c>
      <c r="D80" s="1">
        <v>136</v>
      </c>
    </row>
    <row r="81" spans="1:4" x14ac:dyDescent="0.25">
      <c r="A81" s="1" t="s">
        <v>8</v>
      </c>
      <c r="B81" s="1" t="s">
        <v>5</v>
      </c>
      <c r="C81" s="1">
        <v>9</v>
      </c>
      <c r="D81" s="1">
        <v>111</v>
      </c>
    </row>
    <row r="82" spans="1:4" x14ac:dyDescent="0.25">
      <c r="A82" s="1" t="s">
        <v>4</v>
      </c>
      <c r="B82" s="1" t="s">
        <v>5</v>
      </c>
      <c r="C82" s="1">
        <v>3.5</v>
      </c>
      <c r="D82" s="1">
        <v>191</v>
      </c>
    </row>
    <row r="83" spans="1:4" x14ac:dyDescent="0.25">
      <c r="A83" s="1" t="s">
        <v>8</v>
      </c>
      <c r="B83" s="1" t="s">
        <v>5</v>
      </c>
      <c r="C83" s="1">
        <v>8</v>
      </c>
      <c r="D83" s="1">
        <v>104</v>
      </c>
    </row>
    <row r="84" spans="1:4" x14ac:dyDescent="0.25">
      <c r="A84" s="1" t="s">
        <v>10</v>
      </c>
      <c r="B84" s="1" t="s">
        <v>11</v>
      </c>
      <c r="C84" s="1">
        <v>13</v>
      </c>
      <c r="D84" s="1">
        <v>191</v>
      </c>
    </row>
    <row r="85" spans="1:4" x14ac:dyDescent="0.25">
      <c r="A85" s="1" t="s">
        <v>12</v>
      </c>
      <c r="B85" s="1" t="s">
        <v>5</v>
      </c>
      <c r="C85" s="1">
        <v>8</v>
      </c>
      <c r="D85" s="1">
        <v>103</v>
      </c>
    </row>
    <row r="86" spans="1:4" x14ac:dyDescent="0.25">
      <c r="A86" s="1" t="s">
        <v>38</v>
      </c>
      <c r="B86" s="1" t="s">
        <v>43</v>
      </c>
      <c r="C86" s="1">
        <v>7.5</v>
      </c>
      <c r="D86" s="1">
        <v>257</v>
      </c>
    </row>
    <row r="87" spans="1:4" x14ac:dyDescent="0.25">
      <c r="A87" s="1" t="s">
        <v>31</v>
      </c>
      <c r="B87" s="1" t="s">
        <v>25</v>
      </c>
      <c r="C87" s="1">
        <v>8</v>
      </c>
      <c r="D87" s="1">
        <v>289</v>
      </c>
    </row>
    <row r="88" spans="1:4" x14ac:dyDescent="0.25">
      <c r="A88" s="1" t="s">
        <v>44</v>
      </c>
      <c r="B88" s="1" t="s">
        <v>5</v>
      </c>
      <c r="C88" s="1">
        <v>10.5</v>
      </c>
      <c r="D88" s="1">
        <v>226</v>
      </c>
    </row>
    <row r="89" spans="1:4" x14ac:dyDescent="0.25">
      <c r="A89" s="1" t="s">
        <v>38</v>
      </c>
      <c r="B89" s="1" t="s">
        <v>26</v>
      </c>
      <c r="C89" s="1">
        <v>4.5</v>
      </c>
      <c r="D89" s="1">
        <v>329</v>
      </c>
    </row>
    <row r="90" spans="1:4" x14ac:dyDescent="0.25">
      <c r="A90" s="1" t="s">
        <v>45</v>
      </c>
      <c r="B90" s="1" t="s">
        <v>46</v>
      </c>
      <c r="C90" s="1">
        <v>10</v>
      </c>
      <c r="D90" s="1">
        <v>266</v>
      </c>
    </row>
    <row r="91" spans="1:4" x14ac:dyDescent="0.25">
      <c r="A91" s="1" t="s">
        <v>29</v>
      </c>
      <c r="B91" s="1" t="s">
        <v>40</v>
      </c>
      <c r="C91" s="1">
        <v>5</v>
      </c>
      <c r="D91" s="1">
        <v>221</v>
      </c>
    </row>
    <row r="92" spans="1:4" x14ac:dyDescent="0.25">
      <c r="A92" s="1" t="s">
        <v>27</v>
      </c>
      <c r="B92" s="1" t="s">
        <v>13</v>
      </c>
      <c r="C92" s="1">
        <v>11</v>
      </c>
      <c r="D92" s="1">
        <v>241</v>
      </c>
    </row>
    <row r="93" spans="1:4" x14ac:dyDescent="0.25">
      <c r="A93" s="1" t="s">
        <v>36</v>
      </c>
      <c r="B93" s="1" t="s">
        <v>25</v>
      </c>
      <c r="C93" s="1">
        <v>7</v>
      </c>
      <c r="D93" s="1">
        <v>109</v>
      </c>
    </row>
    <row r="94" spans="1:4" x14ac:dyDescent="0.25">
      <c r="A94" s="1" t="s">
        <v>10</v>
      </c>
      <c r="B94" s="1" t="s">
        <v>25</v>
      </c>
      <c r="C94" s="1">
        <v>9</v>
      </c>
      <c r="D94" s="1">
        <v>323</v>
      </c>
    </row>
    <row r="95" spans="1:4" x14ac:dyDescent="0.25">
      <c r="A95" s="1" t="s">
        <v>10</v>
      </c>
      <c r="B95" s="1" t="s">
        <v>25</v>
      </c>
      <c r="C95" s="1">
        <v>2</v>
      </c>
      <c r="D95" s="1">
        <v>221</v>
      </c>
    </row>
    <row r="96" spans="1:4" x14ac:dyDescent="0.25">
      <c r="A96" s="1" t="s">
        <v>10</v>
      </c>
      <c r="B96" s="1" t="s">
        <v>11</v>
      </c>
      <c r="C96" s="1">
        <v>5</v>
      </c>
      <c r="D96" s="1">
        <v>86</v>
      </c>
    </row>
    <row r="97" spans="1:4" x14ac:dyDescent="0.25">
      <c r="A97" s="1" t="s">
        <v>4</v>
      </c>
      <c r="B97" s="1" t="s">
        <v>7</v>
      </c>
      <c r="C97" s="1">
        <v>3.5</v>
      </c>
      <c r="D97" s="1">
        <v>80</v>
      </c>
    </row>
    <row r="98" spans="1:4" x14ac:dyDescent="0.25">
      <c r="A98" s="1" t="s">
        <v>21</v>
      </c>
      <c r="B98" s="1" t="s">
        <v>5</v>
      </c>
      <c r="C98" s="1">
        <v>10</v>
      </c>
      <c r="D98" s="1">
        <v>145</v>
      </c>
    </row>
    <row r="99" spans="1:4" x14ac:dyDescent="0.25">
      <c r="A99" s="1" t="s">
        <v>10</v>
      </c>
      <c r="B99" s="1" t="s">
        <v>13</v>
      </c>
      <c r="C99" s="1">
        <v>3</v>
      </c>
      <c r="D99" s="1">
        <v>195</v>
      </c>
    </row>
    <row r="100" spans="1:4" x14ac:dyDescent="0.25">
      <c r="A100" s="1" t="s">
        <v>8</v>
      </c>
      <c r="B100" s="1" t="s">
        <v>5</v>
      </c>
      <c r="C100" s="1">
        <v>9</v>
      </c>
      <c r="D100" s="1">
        <v>281</v>
      </c>
    </row>
    <row r="101" spans="1:4" x14ac:dyDescent="0.25">
      <c r="A101" s="1" t="s">
        <v>10</v>
      </c>
      <c r="B101" s="1" t="s">
        <v>5</v>
      </c>
      <c r="C101" s="1">
        <v>11</v>
      </c>
      <c r="D101" s="1">
        <v>327</v>
      </c>
    </row>
    <row r="102" spans="1:4" x14ac:dyDescent="0.25">
      <c r="A102" s="1" t="s">
        <v>10</v>
      </c>
      <c r="B102" s="1" t="s">
        <v>40</v>
      </c>
      <c r="C102" s="1">
        <v>8</v>
      </c>
      <c r="D102" s="1">
        <v>270</v>
      </c>
    </row>
    <row r="103" spans="1:4" x14ac:dyDescent="0.25">
      <c r="A103" s="1" t="s">
        <v>10</v>
      </c>
      <c r="B103" s="1" t="s">
        <v>11</v>
      </c>
      <c r="C103" s="1">
        <v>10</v>
      </c>
      <c r="D103" s="1">
        <v>142</v>
      </c>
    </row>
    <row r="104" spans="1:4" x14ac:dyDescent="0.25">
      <c r="A104" s="1" t="s">
        <v>10</v>
      </c>
      <c r="B104" s="1" t="s">
        <v>39</v>
      </c>
      <c r="C104" s="1">
        <v>11</v>
      </c>
      <c r="D104" s="1">
        <v>259</v>
      </c>
    </row>
    <row r="105" spans="1:4" x14ac:dyDescent="0.25">
      <c r="A105" s="1" t="s">
        <v>12</v>
      </c>
      <c r="B105" s="1" t="s">
        <v>5</v>
      </c>
      <c r="C105" s="1">
        <v>9</v>
      </c>
      <c r="D105" s="1">
        <v>281</v>
      </c>
    </row>
    <row r="106" spans="1:4" x14ac:dyDescent="0.25">
      <c r="A106" s="1" t="s">
        <v>4</v>
      </c>
      <c r="B106" s="1" t="s">
        <v>7</v>
      </c>
      <c r="C106" s="1">
        <v>4</v>
      </c>
      <c r="D106" s="1">
        <v>318</v>
      </c>
    </row>
    <row r="107" spans="1:4" x14ac:dyDescent="0.25">
      <c r="A107" s="1" t="s">
        <v>10</v>
      </c>
      <c r="B107" s="1" t="s">
        <v>9</v>
      </c>
      <c r="C107" s="1">
        <v>8</v>
      </c>
      <c r="D107" s="1">
        <v>224</v>
      </c>
    </row>
    <row r="108" spans="1:4" x14ac:dyDescent="0.25">
      <c r="A108" s="1" t="s">
        <v>31</v>
      </c>
      <c r="B108" s="1" t="s">
        <v>5</v>
      </c>
      <c r="C108" s="1">
        <v>10</v>
      </c>
      <c r="D108" s="1">
        <v>312</v>
      </c>
    </row>
    <row r="109" spans="1:4" x14ac:dyDescent="0.25">
      <c r="A109" s="1" t="s">
        <v>19</v>
      </c>
      <c r="B109" s="1" t="s">
        <v>13</v>
      </c>
      <c r="C109" s="1">
        <v>8</v>
      </c>
      <c r="D109" s="1">
        <v>347</v>
      </c>
    </row>
    <row r="110" spans="1:4" x14ac:dyDescent="0.25">
      <c r="A110" s="1" t="s">
        <v>28</v>
      </c>
      <c r="B110" s="1" t="s">
        <v>9</v>
      </c>
      <c r="C110" s="1">
        <v>4</v>
      </c>
      <c r="D110" s="1">
        <v>238</v>
      </c>
    </row>
    <row r="111" spans="1:4" x14ac:dyDescent="0.25">
      <c r="A111" s="1" t="s">
        <v>10</v>
      </c>
      <c r="B111" s="1" t="s">
        <v>5</v>
      </c>
      <c r="C111" s="1">
        <v>4</v>
      </c>
      <c r="D111" s="1">
        <v>210</v>
      </c>
    </row>
    <row r="112" spans="1:4" x14ac:dyDescent="0.25">
      <c r="A112" s="1" t="s">
        <v>4</v>
      </c>
      <c r="B112" s="1" t="s">
        <v>25</v>
      </c>
      <c r="C112" s="1">
        <v>7</v>
      </c>
      <c r="D112" s="1">
        <v>233</v>
      </c>
    </row>
    <row r="113" spans="1:4" x14ac:dyDescent="0.25">
      <c r="A113" s="1" t="s">
        <v>4</v>
      </c>
      <c r="B113" s="1" t="s">
        <v>20</v>
      </c>
      <c r="C113" s="1">
        <v>2.5</v>
      </c>
      <c r="D113" s="1">
        <v>93</v>
      </c>
    </row>
    <row r="114" spans="1:4" x14ac:dyDescent="0.25">
      <c r="A114" s="1" t="s">
        <v>10</v>
      </c>
      <c r="B114" s="1" t="s">
        <v>5</v>
      </c>
      <c r="C114" s="1">
        <v>8</v>
      </c>
      <c r="D114" s="1">
        <v>296</v>
      </c>
    </row>
    <row r="115" spans="1:4" x14ac:dyDescent="0.25">
      <c r="A115" s="1" t="s">
        <v>4</v>
      </c>
      <c r="B115" s="1" t="s">
        <v>5</v>
      </c>
      <c r="C115" s="1">
        <v>3.5</v>
      </c>
      <c r="D115" s="1">
        <v>336</v>
      </c>
    </row>
    <row r="116" spans="1:4" x14ac:dyDescent="0.25">
      <c r="A116" s="1" t="s">
        <v>22</v>
      </c>
      <c r="B116" s="1" t="s">
        <v>13</v>
      </c>
      <c r="C116" s="1">
        <v>7</v>
      </c>
      <c r="D116" s="1">
        <v>92</v>
      </c>
    </row>
    <row r="117" spans="1:4" x14ac:dyDescent="0.25">
      <c r="A117" s="1" t="s">
        <v>36</v>
      </c>
      <c r="B117" s="1" t="s">
        <v>14</v>
      </c>
      <c r="C117" s="1">
        <v>7</v>
      </c>
      <c r="D117" s="1">
        <v>92</v>
      </c>
    </row>
    <row r="118" spans="1:4" x14ac:dyDescent="0.25">
      <c r="A118" s="1" t="s">
        <v>12</v>
      </c>
      <c r="B118" s="1" t="s">
        <v>13</v>
      </c>
      <c r="C118" s="1">
        <v>6</v>
      </c>
      <c r="D118" s="1">
        <v>219</v>
      </c>
    </row>
    <row r="119" spans="1:4" x14ac:dyDescent="0.25">
      <c r="A119" s="1" t="s">
        <v>12</v>
      </c>
      <c r="B119" s="1" t="s">
        <v>13</v>
      </c>
      <c r="C119" s="1">
        <v>11</v>
      </c>
      <c r="D119" s="1">
        <v>130</v>
      </c>
    </row>
    <row r="120" spans="1:4" x14ac:dyDescent="0.25">
      <c r="A120" s="1" t="s">
        <v>28</v>
      </c>
      <c r="B120" s="1" t="s">
        <v>13</v>
      </c>
      <c r="C120" s="1">
        <v>7</v>
      </c>
      <c r="D120" s="1">
        <v>141</v>
      </c>
    </row>
    <row r="121" spans="1:4" x14ac:dyDescent="0.25">
      <c r="A121" s="1" t="s">
        <v>10</v>
      </c>
      <c r="B121" s="1" t="s">
        <v>47</v>
      </c>
      <c r="C121" s="1">
        <v>3</v>
      </c>
      <c r="D121" s="1">
        <v>115</v>
      </c>
    </row>
    <row r="122" spans="1:4" x14ac:dyDescent="0.25">
      <c r="A122" s="1" t="s">
        <v>24</v>
      </c>
      <c r="B122" s="1" t="s">
        <v>5</v>
      </c>
      <c r="C122" s="1">
        <v>6.5</v>
      </c>
      <c r="D122" s="1">
        <v>347</v>
      </c>
    </row>
    <row r="123" spans="1:4" x14ac:dyDescent="0.25">
      <c r="A123" s="1" t="s">
        <v>36</v>
      </c>
      <c r="B123" s="1" t="s">
        <v>25</v>
      </c>
      <c r="C123" s="1">
        <v>4</v>
      </c>
      <c r="D123" s="1">
        <v>339</v>
      </c>
    </row>
    <row r="124" spans="1:4" x14ac:dyDescent="0.25">
      <c r="A124" s="1" t="s">
        <v>4</v>
      </c>
      <c r="B124" s="1" t="s">
        <v>41</v>
      </c>
      <c r="C124" s="1">
        <v>6.5</v>
      </c>
      <c r="D124" s="1">
        <v>214</v>
      </c>
    </row>
    <row r="125" spans="1:4" x14ac:dyDescent="0.25">
      <c r="A125" s="1" t="s">
        <v>10</v>
      </c>
      <c r="B125" s="1" t="s">
        <v>11</v>
      </c>
      <c r="C125" s="1">
        <v>7</v>
      </c>
      <c r="D125" s="1">
        <v>207</v>
      </c>
    </row>
    <row r="126" spans="1:4" x14ac:dyDescent="0.25">
      <c r="A126" s="1" t="s">
        <v>36</v>
      </c>
      <c r="B126" s="1" t="s">
        <v>35</v>
      </c>
      <c r="C126" s="1">
        <v>9</v>
      </c>
      <c r="D126" s="1">
        <v>114</v>
      </c>
    </row>
    <row r="127" spans="1:4" x14ac:dyDescent="0.25">
      <c r="A127" s="1" t="s">
        <v>12</v>
      </c>
      <c r="B127" s="1" t="s">
        <v>5</v>
      </c>
      <c r="C127" s="1">
        <v>9</v>
      </c>
      <c r="D127" s="1">
        <v>134</v>
      </c>
    </row>
    <row r="128" spans="1:4" x14ac:dyDescent="0.25">
      <c r="A128" s="1" t="s">
        <v>12</v>
      </c>
      <c r="B128" s="1" t="s">
        <v>26</v>
      </c>
      <c r="C128" s="1">
        <v>8</v>
      </c>
      <c r="D128" s="1">
        <v>120</v>
      </c>
    </row>
    <row r="129" spans="1:4" x14ac:dyDescent="0.25">
      <c r="A129" s="1" t="s">
        <v>10</v>
      </c>
      <c r="B129" s="1" t="s">
        <v>14</v>
      </c>
      <c r="C129" s="1">
        <v>9</v>
      </c>
      <c r="D129" s="1">
        <v>140</v>
      </c>
    </row>
    <row r="130" spans="1:4" x14ac:dyDescent="0.25">
      <c r="A130" s="1" t="s">
        <v>37</v>
      </c>
      <c r="B130" s="1" t="s">
        <v>13</v>
      </c>
      <c r="C130" s="1">
        <v>10</v>
      </c>
      <c r="D130" s="1">
        <v>130</v>
      </c>
    </row>
    <row r="131" spans="1:4" x14ac:dyDescent="0.25">
      <c r="A131" s="1" t="s">
        <v>10</v>
      </c>
      <c r="B131" s="1" t="s">
        <v>25</v>
      </c>
      <c r="C131" s="1">
        <v>7</v>
      </c>
      <c r="D131" s="1">
        <v>242</v>
      </c>
    </row>
    <row r="132" spans="1:4" x14ac:dyDescent="0.25">
      <c r="A132" s="1" t="s">
        <v>10</v>
      </c>
      <c r="B132" s="1" t="s">
        <v>40</v>
      </c>
      <c r="C132" s="1">
        <v>2</v>
      </c>
      <c r="D132" s="1">
        <v>93</v>
      </c>
    </row>
    <row r="133" spans="1:4" x14ac:dyDescent="0.25">
      <c r="A133" s="1" t="s">
        <v>4</v>
      </c>
      <c r="B133" s="1" t="s">
        <v>33</v>
      </c>
      <c r="C133" s="1">
        <v>6</v>
      </c>
      <c r="D133" s="1">
        <v>299</v>
      </c>
    </row>
    <row r="134" spans="1:4" x14ac:dyDescent="0.25">
      <c r="A134" s="1" t="s">
        <v>4</v>
      </c>
      <c r="B134" s="1" t="s">
        <v>41</v>
      </c>
      <c r="C134" s="1">
        <v>6</v>
      </c>
      <c r="D134" s="1">
        <v>294</v>
      </c>
    </row>
    <row r="135" spans="1:4" x14ac:dyDescent="0.25">
      <c r="A135" s="1" t="s">
        <v>12</v>
      </c>
      <c r="B135" s="1" t="s">
        <v>5</v>
      </c>
      <c r="C135" s="1">
        <v>8</v>
      </c>
      <c r="D135" s="1">
        <v>297</v>
      </c>
    </row>
    <row r="136" spans="1:4" x14ac:dyDescent="0.25">
      <c r="A136" s="1" t="s">
        <v>10</v>
      </c>
      <c r="B136" s="1" t="s">
        <v>13</v>
      </c>
      <c r="C136" s="1">
        <v>7</v>
      </c>
      <c r="D136" s="1">
        <v>106</v>
      </c>
    </row>
    <row r="137" spans="1:4" x14ac:dyDescent="0.25">
      <c r="A137" s="1" t="s">
        <v>10</v>
      </c>
      <c r="B137" s="1" t="s">
        <v>11</v>
      </c>
      <c r="C137" s="1">
        <v>13</v>
      </c>
      <c r="D137" s="1">
        <v>107</v>
      </c>
    </row>
    <row r="138" spans="1:4" x14ac:dyDescent="0.25">
      <c r="A138" s="1" t="s">
        <v>12</v>
      </c>
      <c r="B138" s="1" t="s">
        <v>26</v>
      </c>
      <c r="C138" s="1">
        <v>10</v>
      </c>
      <c r="D138" s="1">
        <v>201</v>
      </c>
    </row>
    <row r="139" spans="1:4" x14ac:dyDescent="0.25">
      <c r="A139" s="1" t="s">
        <v>10</v>
      </c>
      <c r="B139" s="1" t="s">
        <v>14</v>
      </c>
      <c r="C139" s="1">
        <v>8</v>
      </c>
      <c r="D139" s="1">
        <v>261</v>
      </c>
    </row>
    <row r="140" spans="1:4" x14ac:dyDescent="0.25">
      <c r="A140" s="1" t="s">
        <v>10</v>
      </c>
      <c r="B140" s="1" t="s">
        <v>40</v>
      </c>
      <c r="C140" s="1">
        <v>4</v>
      </c>
      <c r="D140" s="1">
        <v>154</v>
      </c>
    </row>
    <row r="141" spans="1:4" x14ac:dyDescent="0.25">
      <c r="A141" s="1" t="s">
        <v>38</v>
      </c>
      <c r="B141" s="1" t="s">
        <v>13</v>
      </c>
      <c r="C141" s="1">
        <v>8.5</v>
      </c>
      <c r="D141" s="1">
        <v>347</v>
      </c>
    </row>
    <row r="142" spans="1:4" x14ac:dyDescent="0.25">
      <c r="A142" s="1" t="s">
        <v>10</v>
      </c>
      <c r="B142" s="1" t="s">
        <v>14</v>
      </c>
      <c r="C142" s="1">
        <v>5</v>
      </c>
      <c r="D142" s="1">
        <v>201</v>
      </c>
    </row>
    <row r="143" spans="1:4" x14ac:dyDescent="0.25">
      <c r="A143" s="1" t="s">
        <v>19</v>
      </c>
      <c r="B143" s="1" t="s">
        <v>5</v>
      </c>
      <c r="C143" s="1">
        <v>11</v>
      </c>
      <c r="D143" s="1">
        <v>182</v>
      </c>
    </row>
    <row r="144" spans="1:4" x14ac:dyDescent="0.25">
      <c r="A144" s="1" t="s">
        <v>4</v>
      </c>
      <c r="B144" s="1" t="s">
        <v>26</v>
      </c>
      <c r="C144" s="1">
        <v>6.5</v>
      </c>
      <c r="D144" s="1">
        <v>216</v>
      </c>
    </row>
    <row r="145" spans="1:4" x14ac:dyDescent="0.25">
      <c r="A145" s="1" t="s">
        <v>10</v>
      </c>
      <c r="B145" s="1" t="s">
        <v>25</v>
      </c>
      <c r="C145" s="1">
        <v>10</v>
      </c>
      <c r="D145" s="1">
        <v>272</v>
      </c>
    </row>
    <row r="146" spans="1:4" x14ac:dyDescent="0.25">
      <c r="A146" s="1" t="s">
        <v>12</v>
      </c>
      <c r="B146" s="1" t="s">
        <v>5</v>
      </c>
      <c r="C146" s="1">
        <v>7</v>
      </c>
      <c r="D146" s="1">
        <v>221</v>
      </c>
    </row>
    <row r="147" spans="1:4" x14ac:dyDescent="0.25">
      <c r="A147" s="1" t="s">
        <v>37</v>
      </c>
      <c r="B147" s="1" t="s">
        <v>14</v>
      </c>
      <c r="C147" s="1">
        <v>9</v>
      </c>
      <c r="D147" s="1">
        <v>100</v>
      </c>
    </row>
    <row r="148" spans="1:4" x14ac:dyDescent="0.25">
      <c r="A148" s="1" t="s">
        <v>4</v>
      </c>
      <c r="B148" s="1" t="s">
        <v>41</v>
      </c>
      <c r="C148" s="1">
        <v>6</v>
      </c>
      <c r="D148" s="1">
        <v>233</v>
      </c>
    </row>
    <row r="149" spans="1:4" x14ac:dyDescent="0.25">
      <c r="A149" s="1" t="s">
        <v>24</v>
      </c>
      <c r="B149" s="1" t="s">
        <v>5</v>
      </c>
      <c r="C149" s="1">
        <v>6.5</v>
      </c>
      <c r="D149" s="1">
        <v>291</v>
      </c>
    </row>
    <row r="150" spans="1:4" x14ac:dyDescent="0.25">
      <c r="A150" s="1" t="s">
        <v>18</v>
      </c>
      <c r="B150" s="1" t="s">
        <v>5</v>
      </c>
      <c r="C150" s="1">
        <v>8</v>
      </c>
      <c r="D150" s="1">
        <v>329</v>
      </c>
    </row>
    <row r="151" spans="1:4" x14ac:dyDescent="0.25">
      <c r="A151" s="1" t="s">
        <v>10</v>
      </c>
      <c r="B151" s="1" t="s">
        <v>14</v>
      </c>
      <c r="C151" s="1">
        <v>8</v>
      </c>
      <c r="D151" s="1">
        <v>136</v>
      </c>
    </row>
    <row r="152" spans="1:4" x14ac:dyDescent="0.25">
      <c r="A152" s="1" t="s">
        <v>19</v>
      </c>
      <c r="B152" s="1" t="s">
        <v>13</v>
      </c>
      <c r="C152" s="1">
        <v>9</v>
      </c>
      <c r="D152" s="1">
        <v>296</v>
      </c>
    </row>
    <row r="153" spans="1:4" x14ac:dyDescent="0.25">
      <c r="A153" s="1" t="s">
        <v>48</v>
      </c>
      <c r="B153" s="1" t="s">
        <v>5</v>
      </c>
      <c r="C153" s="1">
        <v>11</v>
      </c>
      <c r="D153" s="1">
        <v>246</v>
      </c>
    </row>
    <row r="154" spans="1:4" x14ac:dyDescent="0.25">
      <c r="A154" s="1" t="s">
        <v>27</v>
      </c>
      <c r="B154" s="1" t="s">
        <v>25</v>
      </c>
      <c r="C154" s="1">
        <v>9</v>
      </c>
      <c r="D154" s="1">
        <v>102</v>
      </c>
    </row>
    <row r="155" spans="1:4" x14ac:dyDescent="0.25">
      <c r="A155" s="1" t="s">
        <v>4</v>
      </c>
      <c r="B155" s="1" t="s">
        <v>5</v>
      </c>
      <c r="C155" s="1">
        <v>7</v>
      </c>
      <c r="D155" s="1">
        <v>120</v>
      </c>
    </row>
    <row r="156" spans="1:4" x14ac:dyDescent="0.25">
      <c r="A156" s="1" t="s">
        <v>49</v>
      </c>
      <c r="B156" s="1" t="s">
        <v>47</v>
      </c>
      <c r="C156" s="1">
        <v>7</v>
      </c>
      <c r="D156" s="1">
        <v>307</v>
      </c>
    </row>
    <row r="157" spans="1:4" x14ac:dyDescent="0.25">
      <c r="A157" s="1" t="s">
        <v>10</v>
      </c>
      <c r="B157" s="1" t="s">
        <v>5</v>
      </c>
      <c r="C157" s="1">
        <v>9</v>
      </c>
      <c r="D157" s="1">
        <v>259</v>
      </c>
    </row>
    <row r="158" spans="1:4" x14ac:dyDescent="0.25">
      <c r="A158" s="1" t="s">
        <v>4</v>
      </c>
      <c r="B158" s="1" t="s">
        <v>5</v>
      </c>
      <c r="C158" s="1">
        <v>3.5</v>
      </c>
      <c r="D158" s="1">
        <v>96</v>
      </c>
    </row>
    <row r="159" spans="1:4" x14ac:dyDescent="0.25">
      <c r="A159" s="1" t="s">
        <v>10</v>
      </c>
      <c r="B159" s="1" t="s">
        <v>40</v>
      </c>
      <c r="C159" s="1">
        <v>5</v>
      </c>
      <c r="D159" s="1">
        <v>202</v>
      </c>
    </row>
    <row r="160" spans="1:4" x14ac:dyDescent="0.25">
      <c r="A160" s="1" t="s">
        <v>36</v>
      </c>
      <c r="B160" s="1" t="s">
        <v>11</v>
      </c>
      <c r="C160" s="1">
        <v>8</v>
      </c>
      <c r="D160" s="1">
        <v>82</v>
      </c>
    </row>
    <row r="161" spans="1:4" x14ac:dyDescent="0.25">
      <c r="A161" s="1" t="s">
        <v>31</v>
      </c>
      <c r="B161" s="1" t="s">
        <v>25</v>
      </c>
      <c r="C161" s="1">
        <v>6</v>
      </c>
      <c r="D161" s="1">
        <v>278</v>
      </c>
    </row>
    <row r="162" spans="1:4" x14ac:dyDescent="0.25">
      <c r="A162" s="1" t="s">
        <v>10</v>
      </c>
      <c r="B162" s="1" t="s">
        <v>13</v>
      </c>
      <c r="C162" s="1">
        <v>9</v>
      </c>
      <c r="D162" s="1">
        <v>99</v>
      </c>
    </row>
    <row r="163" spans="1:4" x14ac:dyDescent="0.25">
      <c r="A163" s="1" t="s">
        <v>48</v>
      </c>
      <c r="B163" s="1" t="s">
        <v>42</v>
      </c>
      <c r="C163" s="1">
        <v>5</v>
      </c>
      <c r="D163" s="1">
        <v>108</v>
      </c>
    </row>
    <row r="164" spans="1:4" x14ac:dyDescent="0.25">
      <c r="A164" s="1" t="s">
        <v>50</v>
      </c>
      <c r="B164" s="1" t="s">
        <v>9</v>
      </c>
      <c r="C164" s="1">
        <v>10.5</v>
      </c>
      <c r="D164" s="1">
        <v>154</v>
      </c>
    </row>
    <row r="165" spans="1:4" x14ac:dyDescent="0.25">
      <c r="A165" s="1" t="s">
        <v>18</v>
      </c>
      <c r="B165" s="1" t="s">
        <v>13</v>
      </c>
      <c r="C165" s="1">
        <v>9</v>
      </c>
      <c r="D165" s="1">
        <v>184</v>
      </c>
    </row>
    <row r="166" spans="1:4" x14ac:dyDescent="0.25">
      <c r="A166" s="1" t="s">
        <v>28</v>
      </c>
      <c r="B166" s="1" t="s">
        <v>5</v>
      </c>
      <c r="C166" s="1">
        <v>5</v>
      </c>
      <c r="D166" s="1">
        <v>141</v>
      </c>
    </row>
    <row r="167" spans="1:4" x14ac:dyDescent="0.25">
      <c r="A167" s="1" t="s">
        <v>10</v>
      </c>
      <c r="B167" s="1" t="s">
        <v>13</v>
      </c>
      <c r="C167" s="1">
        <v>12</v>
      </c>
      <c r="D167" s="1">
        <v>317</v>
      </c>
    </row>
    <row r="168" spans="1:4" x14ac:dyDescent="0.25">
      <c r="A168" s="1" t="s">
        <v>10</v>
      </c>
      <c r="B168" s="1" t="s">
        <v>11</v>
      </c>
      <c r="C168" s="1">
        <v>10</v>
      </c>
      <c r="D168" s="1">
        <v>172</v>
      </c>
    </row>
    <row r="169" spans="1:4" x14ac:dyDescent="0.25">
      <c r="A169" s="1" t="s">
        <v>28</v>
      </c>
      <c r="B169" s="1" t="s">
        <v>9</v>
      </c>
      <c r="C169" s="1">
        <v>41</v>
      </c>
      <c r="D169" s="1">
        <v>347</v>
      </c>
    </row>
    <row r="170" spans="1:4" x14ac:dyDescent="0.25">
      <c r="A170" s="1" t="s">
        <v>28</v>
      </c>
      <c r="B170" s="1" t="s">
        <v>13</v>
      </c>
      <c r="C170" s="1">
        <v>10</v>
      </c>
      <c r="D170" s="1">
        <v>303</v>
      </c>
    </row>
    <row r="171" spans="1:4" x14ac:dyDescent="0.25">
      <c r="A171" s="1" t="s">
        <v>10</v>
      </c>
      <c r="B171" s="1" t="s">
        <v>39</v>
      </c>
      <c r="C171" s="1">
        <v>6</v>
      </c>
      <c r="D171" s="1">
        <v>157</v>
      </c>
    </row>
    <row r="172" spans="1:4" x14ac:dyDescent="0.25">
      <c r="A172" s="1" t="s">
        <v>12</v>
      </c>
      <c r="B172" s="1" t="s">
        <v>26</v>
      </c>
      <c r="C172" s="1">
        <v>10</v>
      </c>
      <c r="D172" s="1">
        <v>96</v>
      </c>
    </row>
    <row r="173" spans="1:4" x14ac:dyDescent="0.25">
      <c r="A173" s="1" t="s">
        <v>10</v>
      </c>
      <c r="B173" s="1" t="s">
        <v>13</v>
      </c>
      <c r="C173" s="1">
        <v>5</v>
      </c>
      <c r="D173" s="1">
        <v>238</v>
      </c>
    </row>
    <row r="174" spans="1:4" x14ac:dyDescent="0.25">
      <c r="A174" s="1" t="s">
        <v>12</v>
      </c>
      <c r="B174" s="1" t="s">
        <v>9</v>
      </c>
      <c r="C174" s="1">
        <v>6</v>
      </c>
      <c r="D174" s="1">
        <v>329</v>
      </c>
    </row>
    <row r="175" spans="1:4" x14ac:dyDescent="0.25">
      <c r="A175" s="1" t="s">
        <v>10</v>
      </c>
      <c r="B175" s="1" t="s">
        <v>11</v>
      </c>
      <c r="C175" s="1">
        <v>10</v>
      </c>
      <c r="D175" s="1">
        <v>267</v>
      </c>
    </row>
    <row r="176" spans="1:4" x14ac:dyDescent="0.25">
      <c r="A176" s="1" t="s">
        <v>38</v>
      </c>
      <c r="B176" s="1" t="s">
        <v>51</v>
      </c>
      <c r="C176" s="1">
        <v>6.5</v>
      </c>
      <c r="D176" s="1">
        <v>198</v>
      </c>
    </row>
    <row r="177" spans="1:4" x14ac:dyDescent="0.25">
      <c r="A177" s="1" t="s">
        <v>27</v>
      </c>
      <c r="B177" s="1" t="s">
        <v>5</v>
      </c>
      <c r="C177" s="1">
        <v>5</v>
      </c>
      <c r="D177" s="1">
        <v>343</v>
      </c>
    </row>
    <row r="178" spans="1:4" x14ac:dyDescent="0.25">
      <c r="A178" s="1" t="s">
        <v>38</v>
      </c>
      <c r="B178" s="1" t="s">
        <v>7</v>
      </c>
      <c r="C178" s="1">
        <v>11</v>
      </c>
      <c r="D178" s="1">
        <v>272</v>
      </c>
    </row>
    <row r="179" spans="1:4" x14ac:dyDescent="0.25">
      <c r="A179" s="1" t="s">
        <v>12</v>
      </c>
      <c r="B179" s="1" t="s">
        <v>5</v>
      </c>
      <c r="C179" s="1">
        <v>10</v>
      </c>
      <c r="D179" s="1">
        <v>164</v>
      </c>
    </row>
    <row r="180" spans="1:4" x14ac:dyDescent="0.25">
      <c r="A180" s="1" t="s">
        <v>10</v>
      </c>
      <c r="B180" s="1" t="s">
        <v>25</v>
      </c>
      <c r="C180" s="1">
        <v>6</v>
      </c>
      <c r="D180" s="1">
        <v>206</v>
      </c>
    </row>
    <row r="181" spans="1:4" x14ac:dyDescent="0.25">
      <c r="A181" s="1" t="s">
        <v>16</v>
      </c>
      <c r="B181" s="1" t="s">
        <v>5</v>
      </c>
      <c r="C181" s="1">
        <v>6</v>
      </c>
      <c r="D181" s="1">
        <v>244</v>
      </c>
    </row>
    <row r="182" spans="1:4" x14ac:dyDescent="0.25">
      <c r="A182" s="1" t="s">
        <v>10</v>
      </c>
      <c r="B182" s="1" t="s">
        <v>5</v>
      </c>
      <c r="C182" s="1">
        <v>8</v>
      </c>
      <c r="D182" s="1">
        <v>125</v>
      </c>
    </row>
    <row r="183" spans="1:4" x14ac:dyDescent="0.25">
      <c r="A183" s="1" t="s">
        <v>10</v>
      </c>
      <c r="B183" s="1" t="s">
        <v>11</v>
      </c>
      <c r="C183" s="1">
        <v>11</v>
      </c>
      <c r="D183" s="1">
        <v>148</v>
      </c>
    </row>
    <row r="184" spans="1:4" x14ac:dyDescent="0.25">
      <c r="A184" s="1" t="s">
        <v>10</v>
      </c>
      <c r="B184" s="1" t="s">
        <v>5</v>
      </c>
      <c r="C184" s="1">
        <v>7</v>
      </c>
      <c r="D184" s="1">
        <v>276</v>
      </c>
    </row>
    <row r="185" spans="1:4" x14ac:dyDescent="0.25">
      <c r="A185" s="1" t="s">
        <v>16</v>
      </c>
      <c r="B185" s="1" t="s">
        <v>39</v>
      </c>
      <c r="C185" s="1">
        <v>7</v>
      </c>
      <c r="D185" s="1">
        <v>271</v>
      </c>
    </row>
    <row r="186" spans="1:4" x14ac:dyDescent="0.25">
      <c r="A186" s="1" t="s">
        <v>10</v>
      </c>
      <c r="B186" s="1" t="s">
        <v>25</v>
      </c>
      <c r="C186" s="1">
        <v>2</v>
      </c>
      <c r="D186" s="1">
        <v>173</v>
      </c>
    </row>
    <row r="187" spans="1:4" x14ac:dyDescent="0.25">
      <c r="A187" s="1" t="s">
        <v>6</v>
      </c>
      <c r="B187" s="1" t="s">
        <v>14</v>
      </c>
      <c r="C187" s="1">
        <v>7</v>
      </c>
      <c r="D187" s="1">
        <v>144</v>
      </c>
    </row>
    <row r="188" spans="1:4" x14ac:dyDescent="0.25">
      <c r="A188" s="1" t="s">
        <v>10</v>
      </c>
      <c r="B188" s="1" t="s">
        <v>13</v>
      </c>
      <c r="C188" s="1">
        <v>9</v>
      </c>
      <c r="D188" s="1">
        <v>162</v>
      </c>
    </row>
    <row r="189" spans="1:4" x14ac:dyDescent="0.25">
      <c r="A189" s="1" t="s">
        <v>10</v>
      </c>
      <c r="B189" s="1" t="s">
        <v>43</v>
      </c>
      <c r="C189" s="1">
        <v>8</v>
      </c>
      <c r="D189" s="1">
        <v>305</v>
      </c>
    </row>
    <row r="190" spans="1:4" x14ac:dyDescent="0.25">
      <c r="A190" s="1" t="s">
        <v>10</v>
      </c>
      <c r="B190" s="1" t="s">
        <v>5</v>
      </c>
      <c r="C190" s="1">
        <v>12</v>
      </c>
      <c r="D190" s="1">
        <v>123</v>
      </c>
    </row>
    <row r="191" spans="1:4" x14ac:dyDescent="0.25">
      <c r="A191" s="1" t="s">
        <v>4</v>
      </c>
      <c r="B191" s="1" t="s">
        <v>7</v>
      </c>
      <c r="C191" s="1">
        <v>6.5</v>
      </c>
      <c r="D191" s="1">
        <v>179</v>
      </c>
    </row>
    <row r="192" spans="1:4" x14ac:dyDescent="0.25">
      <c r="A192" s="1" t="s">
        <v>38</v>
      </c>
      <c r="B192" s="4" t="s">
        <v>5</v>
      </c>
      <c r="C192" s="1">
        <v>7</v>
      </c>
      <c r="D192" s="1">
        <v>143</v>
      </c>
    </row>
    <row r="193" spans="1:4" x14ac:dyDescent="0.25">
      <c r="A193" s="1" t="s">
        <v>22</v>
      </c>
      <c r="B193" s="1" t="s">
        <v>13</v>
      </c>
      <c r="C193" s="1">
        <v>11</v>
      </c>
      <c r="D193" s="1">
        <v>253</v>
      </c>
    </row>
    <row r="194" spans="1:4" x14ac:dyDescent="0.25">
      <c r="A194" s="1" t="s">
        <v>10</v>
      </c>
      <c r="B194" s="1" t="s">
        <v>5</v>
      </c>
      <c r="C194" s="1">
        <v>10</v>
      </c>
      <c r="D194" s="1">
        <v>311</v>
      </c>
    </row>
    <row r="195" spans="1:4" x14ac:dyDescent="0.25">
      <c r="A195" s="1" t="s">
        <v>4</v>
      </c>
      <c r="B195" s="1" t="s">
        <v>5</v>
      </c>
      <c r="C195" s="1">
        <v>4</v>
      </c>
      <c r="D195" s="1">
        <v>344</v>
      </c>
    </row>
    <row r="196" spans="1:4" x14ac:dyDescent="0.25">
      <c r="A196" s="1" t="s">
        <v>10</v>
      </c>
      <c r="B196" s="1" t="s">
        <v>40</v>
      </c>
      <c r="C196" s="1">
        <v>2</v>
      </c>
      <c r="D196" s="1">
        <v>272</v>
      </c>
    </row>
    <row r="197" spans="1:4" x14ac:dyDescent="0.25">
      <c r="A197" s="1" t="s">
        <v>10</v>
      </c>
      <c r="B197" s="1" t="s">
        <v>52</v>
      </c>
      <c r="C197" s="1">
        <v>7</v>
      </c>
      <c r="D197" s="1">
        <v>119</v>
      </c>
    </row>
    <row r="198" spans="1:4" x14ac:dyDescent="0.25">
      <c r="A198" s="1" t="s">
        <v>19</v>
      </c>
      <c r="B198" s="1" t="s">
        <v>13</v>
      </c>
      <c r="C198" s="1">
        <v>8</v>
      </c>
      <c r="D198" s="1">
        <v>182</v>
      </c>
    </row>
    <row r="199" spans="1:4" x14ac:dyDescent="0.25">
      <c r="A199" s="1" t="s">
        <v>50</v>
      </c>
      <c r="B199" s="1" t="s">
        <v>5</v>
      </c>
      <c r="C199" s="1">
        <v>10</v>
      </c>
      <c r="D199" s="1">
        <v>104</v>
      </c>
    </row>
    <row r="200" spans="1:4" x14ac:dyDescent="0.25">
      <c r="A200" s="1" t="s">
        <v>21</v>
      </c>
      <c r="B200" s="1" t="s">
        <v>52</v>
      </c>
      <c r="C200" s="1">
        <v>10</v>
      </c>
      <c r="D200" s="1">
        <v>289</v>
      </c>
    </row>
    <row r="201" spans="1:4" ht="15" x14ac:dyDescent="0.2">
      <c r="A201"/>
      <c r="B201"/>
      <c r="C201"/>
      <c r="D201"/>
    </row>
    <row r="202" spans="1:4" ht="15" x14ac:dyDescent="0.2">
      <c r="A202"/>
      <c r="B202"/>
      <c r="C202"/>
      <c r="D202"/>
    </row>
    <row r="203" spans="1:4" ht="15" x14ac:dyDescent="0.2">
      <c r="A203"/>
      <c r="B203"/>
      <c r="C203"/>
      <c r="D203"/>
    </row>
  </sheetData>
  <mergeCells count="1">
    <mergeCell ref="K2:L2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Cleaned_Shoe 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Duong Vu</cp:lastModifiedBy>
  <dcterms:created xsi:type="dcterms:W3CDTF">2024-12-20T02:20:42Z</dcterms:created>
  <dcterms:modified xsi:type="dcterms:W3CDTF">2025-11-05T07:40:14Z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50b00c56-c464-469c-8c9b-f163c86ea087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